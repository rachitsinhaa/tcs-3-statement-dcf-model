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0D3EA422-8AB5-4DC5-9BF5-8EF3B3F003AE}" xr6:coauthVersionLast="47" xr6:coauthVersionMax="47" xr10:uidLastSave="{00000000-0000-0000-0000-000000000000}"/>
  <bookViews>
    <workbookView xWindow="-120" yWindow="-120" windowWidth="29040" windowHeight="15720" xr2:uid="{E2A8BB9E-51D3-4923-92D7-92EA8CF0D578}"/>
  </bookViews>
  <sheets>
    <sheet name="ReadMe" sheetId="1" r:id="rId1"/>
    <sheet name="Assumptions" sheetId="2" r:id="rId2"/>
    <sheet name="Income Statement" sheetId="3" r:id="rId3"/>
    <sheet name="Balance Sheet" sheetId="4" r:id="rId4"/>
    <sheet name="Cash Flow" sheetId="5" r:id="rId5"/>
    <sheet name="DCF Valuation" sheetId="6" r:id="rId6"/>
    <sheet name="Sensitivity" sheetId="7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  <c r="G17" i="4"/>
  <c r="F17" i="4"/>
  <c r="E17" i="4"/>
  <c r="D17" i="4"/>
  <c r="C17" i="4"/>
  <c r="C9" i="3"/>
  <c r="D21" i="6"/>
  <c r="D30" i="6" s="1"/>
  <c r="D19" i="6"/>
  <c r="D27" i="6" s="1"/>
  <c r="D18" i="6"/>
  <c r="G5" i="7" s="1"/>
  <c r="L5" i="6"/>
  <c r="K5" i="6"/>
  <c r="J5" i="6"/>
  <c r="I5" i="6"/>
  <c r="H5" i="6"/>
  <c r="H4" i="4"/>
  <c r="I4" i="4" s="1"/>
  <c r="J4" i="4" s="1"/>
  <c r="K4" i="4" s="1"/>
  <c r="L4" i="4" s="1"/>
  <c r="I18" i="3"/>
  <c r="J18" i="3" s="1"/>
  <c r="K18" i="3" s="1"/>
  <c r="L18" i="3" s="1"/>
  <c r="H18" i="3"/>
  <c r="H4" i="3"/>
  <c r="H14" i="4" s="1"/>
  <c r="C37" i="2"/>
  <c r="D20" i="6" s="1"/>
  <c r="C28" i="2"/>
  <c r="C29" i="2" s="1"/>
  <c r="C30" i="2" s="1"/>
  <c r="C26" i="2"/>
  <c r="C24" i="2"/>
  <c r="G7" i="5"/>
  <c r="F7" i="5"/>
  <c r="E7" i="5"/>
  <c r="D7" i="5"/>
  <c r="C7" i="5"/>
  <c r="G6" i="4"/>
  <c r="G10" i="4" s="1"/>
  <c r="F6" i="4"/>
  <c r="F10" i="4" s="1"/>
  <c r="E6" i="4"/>
  <c r="E10" i="4" s="1"/>
  <c r="D6" i="4"/>
  <c r="D10" i="4" s="1"/>
  <c r="C6" i="4"/>
  <c r="C10" i="4" s="1"/>
  <c r="C19" i="4" s="1"/>
  <c r="G19" i="3"/>
  <c r="F19" i="3"/>
  <c r="E19" i="3"/>
  <c r="D19" i="3"/>
  <c r="C19" i="3"/>
  <c r="G17" i="3"/>
  <c r="F17" i="3"/>
  <c r="E17" i="3"/>
  <c r="D17" i="3"/>
  <c r="C17" i="3"/>
  <c r="C15" i="3"/>
  <c r="G15" i="3"/>
  <c r="F15" i="3"/>
  <c r="E15" i="3"/>
  <c r="D15" i="3"/>
  <c r="G14" i="3"/>
  <c r="F14" i="3"/>
  <c r="E14" i="3"/>
  <c r="D14" i="3"/>
  <c r="C14" i="3"/>
  <c r="G13" i="3"/>
  <c r="F13" i="3"/>
  <c r="E13" i="3"/>
  <c r="D13" i="3"/>
  <c r="C13" i="3"/>
  <c r="G10" i="3"/>
  <c r="F10" i="3"/>
  <c r="E10" i="3"/>
  <c r="D10" i="3"/>
  <c r="C10" i="3"/>
  <c r="G9" i="3"/>
  <c r="F9" i="3"/>
  <c r="E9" i="3"/>
  <c r="D9" i="3"/>
  <c r="G7" i="3"/>
  <c r="F7" i="3"/>
  <c r="E7" i="3"/>
  <c r="D7" i="3"/>
  <c r="C7" i="3"/>
  <c r="G5" i="3"/>
  <c r="F5" i="3"/>
  <c r="E5" i="3"/>
  <c r="D5" i="3"/>
  <c r="G19" i="4" l="1"/>
  <c r="D19" i="4"/>
  <c r="E19" i="4"/>
  <c r="F19" i="4"/>
  <c r="H8" i="4"/>
  <c r="F5" i="7"/>
  <c r="I4" i="3"/>
  <c r="I7" i="4" s="1"/>
  <c r="C31" i="2"/>
  <c r="D17" i="6" s="1"/>
  <c r="B9" i="7" s="1"/>
  <c r="D5" i="7"/>
  <c r="H15" i="4"/>
  <c r="E5" i="7"/>
  <c r="H6" i="3"/>
  <c r="H7" i="3" s="1"/>
  <c r="C5" i="7"/>
  <c r="H5" i="3"/>
  <c r="H5" i="5"/>
  <c r="H7" i="4"/>
  <c r="I10" i="5"/>
  <c r="I11" i="3"/>
  <c r="I14" i="4"/>
  <c r="I5" i="5" s="1"/>
  <c r="J4" i="3"/>
  <c r="I8" i="6"/>
  <c r="I15" i="4"/>
  <c r="I6" i="3"/>
  <c r="I5" i="3"/>
  <c r="I13" i="4"/>
  <c r="H11" i="3"/>
  <c r="H10" i="5"/>
  <c r="H8" i="6"/>
  <c r="H8" i="3"/>
  <c r="H13" i="4"/>
  <c r="I12" i="6" l="1"/>
  <c r="J12" i="6"/>
  <c r="B7" i="7"/>
  <c r="I8" i="3"/>
  <c r="I7" i="6" s="1"/>
  <c r="I8" i="4"/>
  <c r="B8" i="7"/>
  <c r="H9" i="6"/>
  <c r="H12" i="6"/>
  <c r="B6" i="7"/>
  <c r="L12" i="6"/>
  <c r="K12" i="6"/>
  <c r="B10" i="7"/>
  <c r="H7" i="6"/>
  <c r="H9" i="3"/>
  <c r="H12" i="4"/>
  <c r="I9" i="6"/>
  <c r="I7" i="3"/>
  <c r="I9" i="3"/>
  <c r="J8" i="6"/>
  <c r="J15" i="4"/>
  <c r="J8" i="4"/>
  <c r="J6" i="3"/>
  <c r="J13" i="4"/>
  <c r="J10" i="5"/>
  <c r="J14" i="4"/>
  <c r="J5" i="5" s="1"/>
  <c r="J7" i="4"/>
  <c r="J5" i="3"/>
  <c r="K4" i="3"/>
  <c r="J8" i="3"/>
  <c r="J7" i="6" s="1"/>
  <c r="J11" i="3"/>
  <c r="K14" i="4" l="1"/>
  <c r="K5" i="5" s="1"/>
  <c r="K7" i="4"/>
  <c r="K5" i="3"/>
  <c r="L4" i="3"/>
  <c r="K10" i="5"/>
  <c r="K11" i="3"/>
  <c r="K8" i="6"/>
  <c r="K13" i="4"/>
  <c r="K8" i="3"/>
  <c r="K7" i="6" s="1"/>
  <c r="K8" i="4"/>
  <c r="K15" i="4"/>
  <c r="K6" i="3"/>
  <c r="J9" i="3"/>
  <c r="J7" i="3"/>
  <c r="I4" i="6"/>
  <c r="I6" i="6" s="1"/>
  <c r="I10" i="6" s="1"/>
  <c r="I13" i="6" s="1"/>
  <c r="I10" i="3"/>
  <c r="H4" i="6"/>
  <c r="H6" i="6" s="1"/>
  <c r="H10" i="6" s="1"/>
  <c r="J9" i="6"/>
  <c r="I12" i="4"/>
  <c r="K9" i="6" l="1"/>
  <c r="J12" i="4"/>
  <c r="H13" i="6"/>
  <c r="J10" i="3"/>
  <c r="J4" i="6"/>
  <c r="J6" i="6" s="1"/>
  <c r="J10" i="6" s="1"/>
  <c r="J13" i="6" s="1"/>
  <c r="L13" i="4"/>
  <c r="L8" i="3"/>
  <c r="L7" i="6" s="1"/>
  <c r="L8" i="6"/>
  <c r="L15" i="4"/>
  <c r="L8" i="4"/>
  <c r="L10" i="5"/>
  <c r="L11" i="3"/>
  <c r="L6" i="3"/>
  <c r="L14" i="4"/>
  <c r="L5" i="5" s="1"/>
  <c r="L5" i="3"/>
  <c r="L7" i="4"/>
  <c r="K9" i="3"/>
  <c r="K7" i="3"/>
  <c r="L9" i="6" l="1"/>
  <c r="L7" i="3"/>
  <c r="L9" i="3"/>
  <c r="K4" i="6"/>
  <c r="K6" i="6" s="1"/>
  <c r="K10" i="6" s="1"/>
  <c r="K10" i="3"/>
  <c r="K12" i="4"/>
  <c r="L12" i="4" l="1"/>
  <c r="K13" i="6"/>
  <c r="L10" i="3"/>
  <c r="L4" i="6"/>
  <c r="L6" i="6" s="1"/>
  <c r="L10" i="6" s="1"/>
  <c r="F10" i="7" s="1" a="1"/>
  <c r="F10" i="7" s="1"/>
  <c r="F8" i="7" l="1" a="1"/>
  <c r="F8" i="7" s="1"/>
  <c r="D10" i="7" a="1"/>
  <c r="D10" i="7" s="1"/>
  <c r="C10" i="7" a="1"/>
  <c r="C10" i="7" s="1"/>
  <c r="F6" i="7" a="1"/>
  <c r="F6" i="7" s="1"/>
  <c r="D8" i="7" a="1"/>
  <c r="D8" i="7" s="1"/>
  <c r="G6" i="7" a="1"/>
  <c r="G6" i="7" s="1"/>
  <c r="D9" i="7" a="1"/>
  <c r="D9" i="7" s="1"/>
  <c r="F9" i="7" a="1"/>
  <c r="F9" i="7" s="1"/>
  <c r="E7" i="7" a="1"/>
  <c r="E7" i="7" s="1"/>
  <c r="C9" i="7" a="1"/>
  <c r="C9" i="7" s="1"/>
  <c r="C7" i="7" a="1"/>
  <c r="C7" i="7" s="1"/>
  <c r="E9" i="7" a="1"/>
  <c r="E9" i="7" s="1"/>
  <c r="D7" i="7" a="1"/>
  <c r="D7" i="7" s="1"/>
  <c r="G9" i="7" a="1"/>
  <c r="G9" i="7" s="1"/>
  <c r="D24" i="6"/>
  <c r="D25" i="6" s="1"/>
  <c r="L13" i="6"/>
  <c r="D23" i="6" s="1"/>
  <c r="C6" i="7" a="1"/>
  <c r="C6" i="7" s="1"/>
  <c r="F7" i="7" a="1"/>
  <c r="F7" i="7" s="1"/>
  <c r="C8" i="7" a="1"/>
  <c r="C8" i="7" s="1"/>
  <c r="G8" i="7" a="1"/>
  <c r="G8" i="7" s="1"/>
  <c r="E10" i="7" a="1"/>
  <c r="E10" i="7" s="1"/>
  <c r="E8" i="7" a="1"/>
  <c r="E8" i="7" s="1"/>
  <c r="G7" i="7" a="1"/>
  <c r="G7" i="7" s="1"/>
  <c r="E6" i="7" a="1"/>
  <c r="E6" i="7" s="1"/>
  <c r="G10" i="7" a="1"/>
  <c r="G10" i="7" s="1"/>
  <c r="D6" i="7" a="1"/>
  <c r="D6" i="7" s="1"/>
  <c r="D26" i="6" l="1"/>
  <c r="D28" i="6" s="1"/>
  <c r="D29" i="6" s="1"/>
  <c r="D31" i="6" s="1"/>
  <c r="D32" i="6" l="1"/>
  <c r="H5" i="4" l="1"/>
  <c r="I5" i="4"/>
  <c r="J5" i="4"/>
  <c r="K5" i="4"/>
  <c r="L5" i="4"/>
  <c r="H6" i="4"/>
  <c r="I6" i="4"/>
  <c r="J6" i="4"/>
  <c r="K6" i="4"/>
  <c r="L6" i="4"/>
  <c r="H9" i="4"/>
  <c r="I9" i="4"/>
  <c r="J9" i="4"/>
  <c r="K9" i="4"/>
  <c r="L9" i="4"/>
  <c r="H10" i="4"/>
  <c r="I10" i="4"/>
  <c r="J10" i="4"/>
  <c r="K10" i="4"/>
  <c r="L10" i="4"/>
  <c r="H16" i="4"/>
  <c r="I16" i="4"/>
  <c r="J16" i="4"/>
  <c r="K16" i="4"/>
  <c r="L16" i="4"/>
  <c r="H17" i="4"/>
  <c r="I17" i="4"/>
  <c r="J17" i="4"/>
  <c r="K17" i="4"/>
  <c r="L17" i="4"/>
  <c r="H19" i="4"/>
  <c r="I19" i="4"/>
  <c r="J19" i="4"/>
  <c r="K19" i="4"/>
  <c r="L19" i="4"/>
  <c r="H4" i="5"/>
  <c r="I4" i="5"/>
  <c r="J4" i="5"/>
  <c r="K4" i="5"/>
  <c r="L4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11" i="5"/>
  <c r="I11" i="5"/>
  <c r="J11" i="5"/>
  <c r="K11" i="5"/>
  <c r="L11" i="5"/>
  <c r="H12" i="3"/>
  <c r="I12" i="3"/>
  <c r="J12" i="3"/>
  <c r="K12" i="3"/>
  <c r="L12" i="3"/>
  <c r="H13" i="3"/>
  <c r="I13" i="3"/>
  <c r="J13" i="3"/>
  <c r="K13" i="3"/>
  <c r="L13" i="3"/>
  <c r="H14" i="3"/>
  <c r="I14" i="3"/>
  <c r="J14" i="3"/>
  <c r="K14" i="3"/>
  <c r="L14" i="3"/>
  <c r="H15" i="3"/>
  <c r="I15" i="3"/>
  <c r="J15" i="3"/>
  <c r="K15" i="3"/>
  <c r="L15" i="3"/>
  <c r="H16" i="3"/>
  <c r="I16" i="3"/>
  <c r="J16" i="3"/>
  <c r="K16" i="3"/>
  <c r="L16" i="3"/>
  <c r="H17" i="3"/>
  <c r="I17" i="3"/>
  <c r="J17" i="3"/>
  <c r="K17" i="3"/>
  <c r="L17" i="3"/>
  <c r="H19" i="3"/>
  <c r="I19" i="3"/>
  <c r="J19" i="3"/>
  <c r="K19" i="3"/>
  <c r="L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intel</author>
  </authors>
  <commentList>
    <comment ref="C21" authorId="0" shapeId="0" xr:uid="{3B505C63-AAA2-46C9-903A-2AFFEF837860}">
      <text>
        <r>
          <rPr>
            <b/>
            <sz val="9"/>
            <color indexed="81"/>
            <rFont val="Tahoma"/>
            <family val="2"/>
          </rPr>
          <t xml:space="preserve">Source: </t>
        </r>
        <r>
          <rPr>
            <sz val="9"/>
            <color indexed="81"/>
            <rFont val="Tahoma"/>
            <family val="2"/>
          </rPr>
          <t xml:space="preserve">India 10-year G-Sec yield, ~ 6.7-6.8%, early jul 2026 (www.tradingeconomics.com)
</t>
        </r>
      </text>
    </comment>
    <comment ref="C22" authorId="0" shapeId="0" xr:uid="{470E9391-1E7F-4004-9469-0A65A4BA4919}">
      <text>
        <r>
          <rPr>
            <sz val="9"/>
            <color indexed="81"/>
            <rFont val="Tahoma"/>
            <family val="2"/>
          </rPr>
          <t xml:space="preserve">Placeholder ~7%. Based on Aswath Damodaran's latest India ERP estimate and update.
</t>
        </r>
      </text>
    </comment>
    <comment ref="C23" authorId="0" shapeId="0" xr:uid="{107B9D8C-966B-4264-A233-084A01074D09}">
      <text>
        <r>
          <rPr>
            <sz val="9"/>
            <color indexed="81"/>
            <rFont val="Tahoma"/>
            <family val="2"/>
          </rPr>
          <t>Placeholder for a low-beta IT bellwether. Based on TCS's 5Y beta and replace.</t>
        </r>
      </text>
    </comment>
    <comment ref="C25" authorId="0" shapeId="0" xr:uid="{6FFAC7F5-D963-4AEA-8A34-23560C0CDA71}">
      <text>
        <r>
          <rPr>
            <sz val="9"/>
            <color indexed="81"/>
            <rFont val="Tahoma"/>
            <family val="2"/>
          </rPr>
          <t xml:space="preserve">TCS is investment-grade / near debt-free; 'borrowings' are mostly Ind AS 116 lease liability. 8% is a reasonable proxy.
</t>
        </r>
      </text>
    </comment>
    <comment ref="C27" authorId="0" shapeId="0" xr:uid="{F1F3E8C4-98A2-4EEB-83F3-F455D86A7370}">
      <text>
        <r>
          <rPr>
            <b/>
            <sz val="9"/>
            <color indexed="81"/>
            <rFont val="Tahoma"/>
            <family val="2"/>
          </rPr>
          <t xml:space="preserve">Source: </t>
        </r>
        <r>
          <rPr>
            <sz val="9"/>
            <color indexed="81"/>
            <rFont val="Tahoma"/>
            <family val="2"/>
          </rPr>
          <t xml:space="preserve">www.screener.in market cap, close of 1 July, 2026.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intel</author>
  </authors>
  <commentList>
    <comment ref="C5" authorId="0" shapeId="0" xr:uid="{8BE6D8BA-1AD3-41D4-88E0-CA0C63F95CC9}">
      <text>
        <r>
          <rPr>
            <sz val="9"/>
            <color indexed="81"/>
            <rFont val="Tahoma"/>
            <family val="2"/>
          </rPr>
          <t>No FY21 revenue figure in this model, so Revenue Growth % cannot be calculated for FY22(the first year in the dateset).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<sst xmlns="http://schemas.openxmlformats.org/spreadsheetml/2006/main" count="225" uniqueCount="161">
  <si>
    <t>FY22</t>
  </si>
  <si>
    <t>FY23</t>
  </si>
  <si>
    <t>FY24</t>
  </si>
  <si>
    <t>FY25</t>
  </si>
  <si>
    <t>FY26</t>
  </si>
  <si>
    <t>FY27E</t>
  </si>
  <si>
    <t>FY28E</t>
  </si>
  <si>
    <t>FY29E</t>
  </si>
  <si>
    <t>FY30E</t>
  </si>
  <si>
    <t>FY31E</t>
  </si>
  <si>
    <t>Revenue</t>
  </si>
  <si>
    <r>
      <t xml:space="preserve">Revenue Growth </t>
    </r>
    <r>
      <rPr>
        <strike/>
        <sz val="11"/>
        <color theme="1"/>
        <rFont val="Aptos Narrow"/>
        <family val="2"/>
        <scheme val="minor"/>
      </rPr>
      <t>%</t>
    </r>
  </si>
  <si>
    <t>EBITDA (Operating Profit)</t>
  </si>
  <si>
    <t>EBITDA Margin %</t>
  </si>
  <si>
    <t>Depreciation &amp; Amortization</t>
  </si>
  <si>
    <t>EBIT</t>
  </si>
  <si>
    <t>EBIT Margin %</t>
  </si>
  <si>
    <t>Other Income</t>
  </si>
  <si>
    <t>Interest Expense</t>
  </si>
  <si>
    <t>Profit Before Tax</t>
  </si>
  <si>
    <t>Tax Expense</t>
  </si>
  <si>
    <t>Effective Tax Rate %</t>
  </si>
  <si>
    <t>Net Profit</t>
  </si>
  <si>
    <t>Net Profit Margin %</t>
  </si>
  <si>
    <t>Shares Outstanding (Cr)</t>
  </si>
  <si>
    <t>EPS(₹)</t>
  </si>
  <si>
    <t>TCS - Balance Sheet (Consolidated, Rs. in Crores)</t>
  </si>
  <si>
    <t>Equity Share Capital</t>
  </si>
  <si>
    <t>Reserves &amp; Surplus</t>
  </si>
  <si>
    <t>Total Equity</t>
  </si>
  <si>
    <t>Borrowings (incl. lease liabilities)</t>
  </si>
  <si>
    <t>Other Liabilities</t>
  </si>
  <si>
    <t>Total Liabilities</t>
  </si>
  <si>
    <t>Fixed Assets (Net)</t>
  </si>
  <si>
    <t>Capital Work-in-Progress</t>
  </si>
  <si>
    <t>Investments</t>
  </si>
  <si>
    <t>Other Assets</t>
  </si>
  <si>
    <t>Total Assets</t>
  </si>
  <si>
    <t>Balance Check  (Total Assets − Total Liabilities)</t>
  </si>
  <si>
    <t>TCS - Income Statement (Consolidated, Rs. in Crores)</t>
  </si>
  <si>
    <t>TCS - Cash Flow Statement (Consolidated, Rs. in Crores)</t>
  </si>
  <si>
    <t>Cash from Operating Activities</t>
  </si>
  <si>
    <t>Cash from Investing Activities</t>
  </si>
  <si>
    <t>Cash from Financing Activities</t>
  </si>
  <si>
    <t>Net Cash Flow</t>
  </si>
  <si>
    <t>Free Cash Flow  (CFO − Capex)</t>
  </si>
  <si>
    <t>Memo: Capex</t>
  </si>
  <si>
    <t>Memo: Dividends Paid</t>
  </si>
  <si>
    <t>Assumptions</t>
  </si>
  <si>
    <t>Operating Assumptions</t>
  </si>
  <si>
    <t>Revenue Growth %</t>
  </si>
  <si>
    <t>Capex % of Revenue</t>
  </si>
  <si>
    <t>Capital WIP % of Revenue</t>
  </si>
  <si>
    <t xml:space="preserve">D&amp;A % of Revenue </t>
  </si>
  <si>
    <t>Investments % of Revenue</t>
  </si>
  <si>
    <t>Other Assets % of Revenue</t>
  </si>
  <si>
    <t>Other Liabilities % of Revenue</t>
  </si>
  <si>
    <t>Borrowings % of Revenue</t>
  </si>
  <si>
    <t>Other Income % of Revenue</t>
  </si>
  <si>
    <t>Tax Rate %</t>
  </si>
  <si>
    <t>Dividend Payout % of Net Profit</t>
  </si>
  <si>
    <t>Cost of Capital (WACC) Assumptions</t>
  </si>
  <si>
    <t>Risk-Free Rate (10Y India G-Sec)</t>
  </si>
  <si>
    <t>Equity Risk Premium - India</t>
  </si>
  <si>
    <t>Beta (TCS vs Nifty 50)</t>
  </si>
  <si>
    <t>Cost of Equity (Rf+Beta*ERP)</t>
  </si>
  <si>
    <t>Pre-Tax Cost of Debt</t>
  </si>
  <si>
    <t>Post-Tax Cost of Debt</t>
  </si>
  <si>
    <t>Market Value of Equity (₹ Cr)</t>
  </si>
  <si>
    <t>Total Debt (₹ Cr, FY26)</t>
  </si>
  <si>
    <t>Weight of Equity</t>
  </si>
  <si>
    <t>Weight of Debt</t>
  </si>
  <si>
    <t>WACC</t>
  </si>
  <si>
    <t>Terminal Value &amp; Market Data</t>
  </si>
  <si>
    <t>Terminal Growth Rate (g)</t>
  </si>
  <si>
    <t>Current Share Price (₹)</t>
  </si>
  <si>
    <t>Shares Outstanding (cr, FY26)</t>
  </si>
  <si>
    <t>NOPAT = EBIT*(1-Tax Rate)</t>
  </si>
  <si>
    <t>Add: Depreciation &amp; Amortization</t>
  </si>
  <si>
    <t>Less: Capex</t>
  </si>
  <si>
    <t>Less: Increase in Net Working Capital</t>
  </si>
  <si>
    <t>Free Cash Flow to Firm (FCFF)</t>
  </si>
  <si>
    <t>Discount Period (years)</t>
  </si>
  <si>
    <t>Discount Factor = 1/(1+WACC)^n</t>
  </si>
  <si>
    <t>PV of FCFF</t>
  </si>
  <si>
    <t>TCS - DCF Valuation</t>
  </si>
  <si>
    <t>Valuation Bridge</t>
  </si>
  <si>
    <t>Net Debt (Borrowings - Investments, FY26)</t>
  </si>
  <si>
    <t>Current Market Price (₹)</t>
  </si>
  <si>
    <t>Sum of PV of Explicit FCFF (FY27E-FY31E)</t>
  </si>
  <si>
    <t>Terminal Value (as of end FY31E) = FCFF_31*(1+g)/(WACC-g)</t>
  </si>
  <si>
    <t>PV of Terminal Value</t>
  </si>
  <si>
    <t>Enterprise Value</t>
  </si>
  <si>
    <t>Less: Net Debt</t>
  </si>
  <si>
    <t>Equity Value</t>
  </si>
  <si>
    <t>Implied Value per Share (₹)</t>
  </si>
  <si>
    <t>Upside/(Downside) to Current Price</t>
  </si>
  <si>
    <t>Terminal Value as % of Enterprise Value (Sanity Check)</t>
  </si>
  <si>
    <t>Grid shows the DCF-implied share price for combinations of WACC (rows) and Terminal Growth Rate (columns).</t>
  </si>
  <si>
    <t>WACC \ Terminal g→</t>
  </si>
  <si>
    <t>Highlighted cell = base-case WACC and base-case terminal growth rate (matches the DCF Valuation tab).</t>
  </si>
  <si>
    <t>Historical Capex and Dividends are back-derived (Capex = ΔFixed Assets + D&amp;A; Dividends = Net Profit x reported payout %) since screener does not report them as separate line items.</t>
  </si>
  <si>
    <t>Note: the forecast Balance Check is not zero by design — Other Assets and Other Liabilities are each forecast independently as a % of Revenue. See ReadMe for why, and how you could add a cash 'plug' to force an exact balance.</t>
  </si>
  <si>
    <t>All operating assumptions apply to the forecast years FY27E-FY31E only.</t>
  </si>
  <si>
    <t>TCS — 3-Statement DCF Model</t>
  </si>
  <si>
    <t>1. Assumptions</t>
  </si>
  <si>
    <t>Every forecast driver lives here (growth, margins, tax, WACC inputs). Change a yellow cell and the whole model recalculates.</t>
  </si>
  <si>
    <t>2. Income Statement</t>
  </si>
  <si>
    <t>FY22-FY26 are actual TCS consolidated results (source: screener.in / TCS filings). FY27E-FY31E are forecast from Assumptions.</t>
  </si>
  <si>
    <t>3. Balance Sheet</t>
  </si>
  <si>
    <t>Same historical/forecast split. Forecast lines are driven off Revenue using ratios from Assumptions.</t>
  </si>
  <si>
    <t>4. Cash Flow Statement</t>
  </si>
  <si>
    <t>Historical actuals, then a forecast built with the indirect method (Net Profit + D&amp;A - change in working capital, etc.).</t>
  </si>
  <si>
    <t>5. DCF &amp; Valuation</t>
  </si>
  <si>
    <t>Builds Free Cash Flow to Firm (FCFF) from the Income Statement, discounts it at WACC, and derives an implied share price.</t>
  </si>
  <si>
    <t>6. Sensitivity</t>
  </si>
  <si>
    <t>A WACC x Terminal Growth grid showing how the implied share price moves — the standard DCF sanity check.</t>
  </si>
  <si>
    <t>Color legend (standard finance-model convention)</t>
  </si>
  <si>
    <t>■ Sample</t>
  </si>
  <si>
    <t>Data sources</t>
  </si>
  <si>
    <t>2) Current share price (₹1,983) and market cap (₹7,16,423 Cr): screener.in, close of 1 Jul 2026.</t>
  </si>
  <si>
    <t>3) India 10-year G-Sec yield (6.75%): tradingeconomics.com / capera.co, as of early Jul 2026.</t>
  </si>
  <si>
    <t>4) Shares outstanding (~362 Cr): TCS equity share capital (face value ₹1) as of FY26.</t>
  </si>
  <si>
    <t>1) Historical Income Statement, Balance Sheet, Cash Flow (FY22-FY26): www.screener.in/company/TCS/consolidated (consolidated Ind AS figures, ₹ Crores), cross-checked against TCS Q4 FY25/FY26 results releases.</t>
  </si>
  <si>
    <t>How the model is organized?</t>
  </si>
  <si>
    <t>Limitations</t>
  </si>
  <si>
    <t>1) Beta (0.65) and Equity Risk Premium (7.0%) are reasonable placeholders for an Indian IT bellwether - based on TCS's actual 5Y beta (e.g. on screener.in or a terminal) and Aswath Damodaran's latest India ERP.</t>
  </si>
  <si>
    <t>2) Revenue growth tapering from 8% to 6% and EBITDA margin held at 27% are judgment calls based on the last 5 years - can be adjusted for a stronger view (deal pipeline, AI-led disruption risk, etc).</t>
  </si>
  <si>
    <t>3) The Balance Sheet's 'Balance Check' row will NOT be exactly zero in the forecast years. That's intentional - Other Assets and Other Liabilities are both forecast independently off Revenue, so they rarely tie perfectly. In a real model, the gap gets absorbed by a cash/revolver 'plug'.</t>
  </si>
  <si>
    <t>Light Blue Fill - a subtotal / total row</t>
  </si>
  <si>
    <t>Light Red Fill - a balance/sanity check to watch</t>
  </si>
  <si>
    <t>Yellow Fill - a key assumption you're meant to edit and play with</t>
  </si>
  <si>
    <t>Green Text - a formula that pulls from ANOTHER sheet</t>
  </si>
  <si>
    <t>Black Text - a formula that calculates from other cells on the SAME sheet</t>
  </si>
  <si>
    <t>Blue Text - a hardcoded number (a historical actual, or a typed-in assumption)</t>
  </si>
  <si>
    <t>Base Case Assumptions</t>
  </si>
  <si>
    <t>A copy of the 'Operating Assumptions' to refer after experimenting.</t>
  </si>
  <si>
    <t>How to use this Model?</t>
  </si>
  <si>
    <t xml:space="preserve">This workbook is built so that one change on the Assumptions tab ripples through all six other tabs automatically. </t>
  </si>
  <si>
    <t>Quick experiments to try! (watch DCF Valuation!D29, the implied share price, after each one)</t>
  </si>
  <si>
    <t xml:space="preserve">Change </t>
  </si>
  <si>
    <t>On Tab</t>
  </si>
  <si>
    <t>What to observe?</t>
  </si>
  <si>
    <t>Revenue Growth % (Row 6)</t>
  </si>
  <si>
    <t>EBITDA Margin % (Row 7)</t>
  </si>
  <si>
    <t>Beta (C23)</t>
  </si>
  <si>
    <t>Terminal Growth Rate (C35)</t>
  </si>
  <si>
    <t>Capex % of Revenue (Row ()</t>
  </si>
  <si>
    <t>How much a 1-2 point change in near-term growth moves the share price vs. Terminal Growth</t>
  </si>
  <si>
    <t>Margin compression hits every forecast year at once — watch how fast value erodes</t>
  </si>
  <si>
    <t>Watch WACC (C31) rise or fall, then see how that alone swings the valuation</t>
  </si>
  <si>
    <t>Small changes here move price more than similar changes to near-term growth — this is why Terminal Value is 65-85% of Enterprise Value</t>
  </si>
  <si>
    <t>Higher capex lowers FCFF directly — check Cash Flow tab’s Free Cash Flow line too</t>
  </si>
  <si>
    <t>Goal Seek</t>
  </si>
  <si>
    <t>To find what growth rate the market is implicitly pricing in at the current share price, use Data → What-If Analysis → Goal Seek: set DCF Valuation!D29 to 1983 (or whatever the live price is), by changing Assumptions!C6. This solves for the assumption instead of you guessing it.</t>
  </si>
  <si>
    <t>Caution</t>
  </si>
  <si>
    <t>If Terminal Growth Rate ever approaches or exceeds WACC, the Terminal Value formula breaks down (division by a near-zero or negative number) — keep a gap of at least 3-4 percentage points between the two.</t>
  </si>
  <si>
    <t>Refer</t>
  </si>
  <si>
    <t xml:space="preserve">Refer to the Base Case Assumptions table on 'Assumptions' Tab to find the original Operating Assumptions after experimenting. </t>
  </si>
  <si>
    <t>Cash &amp; Cash Equivalents (Plug)</t>
  </si>
  <si>
    <t>Short-Term Borrowings/Revolver (Plug)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</si>
</sst>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-"/>
    <numFmt numFmtId="165" formatCode="0.0%"/>
    <numFmt numFmtId="166" formatCode="_ [$₹-4009]\ * #,##0.00_ ;_ [$₹-4009]\ * \-#,##0.00_ ;_ [$₹-4009]\ * &quot;-&quot;??_ ;_ @_ "/>
    <numFmt numFmtId="167" formatCode="0.000"/>
    <numFmt numFmtId="168" formatCode="_(* #,##0.000_);_(* \(#,##0.000\);_(* &quot;-&quot;??_);_(@_)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6"/>
      <color theme="0"/>
      <name val="Aptos Display"/>
      <family val="2"/>
      <scheme val="major"/>
    </font>
    <font>
      <b/>
      <sz val="18"/>
      <color theme="0"/>
      <name val="Aptos Display"/>
      <family val="2"/>
      <scheme val="maj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3" tint="9.9978637043366805E-2"/>
      <name val="Aptos Display"/>
      <family val="2"/>
      <scheme val="major"/>
    </font>
    <font>
      <b/>
      <i/>
      <sz val="11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sz val="16"/>
      <color theme="1"/>
      <name val="Aptos Narrow"/>
      <family val="2"/>
      <scheme val="minor"/>
    </font>
    <font>
      <b/>
      <sz val="18"/>
      <color rgb="FFFFFFFF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4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264F15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DEDED"/>
        <bgColor rgb="FFFCE4D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rgb="FF333333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64">
    <xf numFmtId="0" fontId="0" fillId="0" borderId="0" xfId="0"/>
    <xf numFmtId="0" fontId="2" fillId="3" borderId="0" xfId="0" applyFont="1" applyFill="1" applyBorder="1" applyAlignment="1">
      <alignment horizontal="center"/>
    </xf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horizontal="left" indent="2"/>
    </xf>
    <xf numFmtId="0" fontId="0" fillId="0" borderId="0" xfId="0" applyFont="1"/>
    <xf numFmtId="0" fontId="5" fillId="0" borderId="0" xfId="0" applyFont="1"/>
    <xf numFmtId="0" fontId="5" fillId="6" borderId="0" xfId="0" applyFont="1" applyFill="1"/>
    <xf numFmtId="3" fontId="5" fillId="6" borderId="0" xfId="0" applyNumberFormat="1" applyFont="1" applyFill="1"/>
    <xf numFmtId="164" fontId="0" fillId="4" borderId="0" xfId="0" applyNumberFormat="1" applyFont="1" applyFill="1"/>
    <xf numFmtId="0" fontId="8" fillId="0" borderId="0" xfId="0" applyFont="1"/>
    <xf numFmtId="0" fontId="9" fillId="0" borderId="0" xfId="0" applyFont="1"/>
    <xf numFmtId="164" fontId="5" fillId="4" borderId="0" xfId="0" applyNumberFormat="1" applyFont="1" applyFill="1"/>
    <xf numFmtId="0" fontId="7" fillId="3" borderId="0" xfId="0" applyFont="1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11" fillId="0" borderId="0" xfId="0" applyFont="1" applyAlignment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41" fontId="13" fillId="0" borderId="0" xfId="3" applyFont="1"/>
    <xf numFmtId="3" fontId="13" fillId="0" borderId="0" xfId="0" applyNumberFormat="1" applyFont="1"/>
    <xf numFmtId="41" fontId="13" fillId="0" borderId="0" xfId="0" applyNumberFormat="1" applyFont="1"/>
    <xf numFmtId="0" fontId="13" fillId="0" borderId="0" xfId="0" applyFont="1"/>
    <xf numFmtId="166" fontId="13" fillId="0" borderId="0" xfId="0" applyNumberFormat="1" applyFont="1"/>
    <xf numFmtId="41" fontId="3" fillId="0" borderId="0" xfId="3" applyFont="1"/>
    <xf numFmtId="41" fontId="3" fillId="2" borderId="0" xfId="0" applyNumberFormat="1" applyFont="1" applyFill="1"/>
    <xf numFmtId="41" fontId="3" fillId="2" borderId="0" xfId="3" applyFont="1" applyFill="1"/>
    <xf numFmtId="10" fontId="13" fillId="0" borderId="0" xfId="1" applyNumberFormat="1" applyFont="1"/>
    <xf numFmtId="43" fontId="13" fillId="0" borderId="0" xfId="0" applyNumberFormat="1" applyFont="1"/>
    <xf numFmtId="0" fontId="15" fillId="0" borderId="0" xfId="0" applyFont="1" applyAlignment="1">
      <alignment horizontal="center"/>
    </xf>
    <xf numFmtId="168" fontId="9" fillId="0" borderId="0" xfId="2" applyNumberFormat="1" applyFont="1"/>
    <xf numFmtId="10" fontId="13" fillId="0" borderId="0" xfId="0" applyNumberFormat="1" applyFont="1"/>
    <xf numFmtId="3" fontId="3" fillId="0" borderId="0" xfId="0" applyNumberFormat="1" applyFont="1"/>
    <xf numFmtId="166" fontId="3" fillId="0" borderId="0" xfId="0" applyNumberFormat="1" applyFont="1"/>
    <xf numFmtId="165" fontId="3" fillId="0" borderId="0" xfId="1" applyNumberFormat="1" applyFont="1"/>
    <xf numFmtId="166" fontId="3" fillId="2" borderId="0" xfId="0" applyNumberFormat="1" applyFont="1" applyFill="1"/>
    <xf numFmtId="10" fontId="3" fillId="5" borderId="0" xfId="1" applyNumberFormat="1" applyFont="1" applyFill="1"/>
    <xf numFmtId="0" fontId="0" fillId="0" borderId="0" xfId="0" applyFont="1" applyAlignment="1">
      <alignment horizontal="left" indent="2"/>
    </xf>
    <xf numFmtId="0" fontId="10" fillId="0" borderId="0" xfId="5" applyFont="1" applyAlignment="1"/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0" xfId="0" applyBorder="1"/>
    <xf numFmtId="0" fontId="5" fillId="6" borderId="8" xfId="0" applyFont="1" applyFill="1" applyBorder="1"/>
    <xf numFmtId="3" fontId="5" fillId="6" borderId="8" xfId="0" applyNumberFormat="1" applyFont="1" applyFill="1" applyBorder="1"/>
    <xf numFmtId="3" fontId="3" fillId="2" borderId="3" xfId="0" applyNumberFormat="1" applyFont="1" applyFill="1" applyBorder="1"/>
    <xf numFmtId="3" fontId="3" fillId="2" borderId="9" xfId="0" applyNumberFormat="1" applyFont="1" applyFill="1" applyBorder="1"/>
    <xf numFmtId="41" fontId="3" fillId="2" borderId="3" xfId="0" applyNumberFormat="1" applyFont="1" applyFill="1" applyBorder="1"/>
    <xf numFmtId="41" fontId="3" fillId="2" borderId="3" xfId="3" applyFont="1" applyFill="1" applyBorder="1"/>
    <xf numFmtId="3" fontId="3" fillId="2" borderId="4" xfId="0" applyNumberFormat="1" applyFont="1" applyFill="1" applyBorder="1"/>
    <xf numFmtId="3" fontId="3" fillId="2" borderId="10" xfId="0" applyNumberFormat="1" applyFont="1" applyFill="1" applyBorder="1"/>
    <xf numFmtId="41" fontId="3" fillId="2" borderId="4" xfId="0" applyNumberFormat="1" applyFont="1" applyFill="1" applyBorder="1"/>
    <xf numFmtId="41" fontId="3" fillId="2" borderId="4" xfId="3" applyFont="1" applyFill="1" applyBorder="1"/>
    <xf numFmtId="164" fontId="3" fillId="2" borderId="3" xfId="0" applyNumberFormat="1" applyFont="1" applyFill="1" applyBorder="1"/>
    <xf numFmtId="164" fontId="5" fillId="4" borderId="8" xfId="0" applyNumberFormat="1" applyFont="1" applyFill="1" applyBorder="1"/>
    <xf numFmtId="164" fontId="3" fillId="2" borderId="9" xfId="0" applyNumberFormat="1" applyFont="1" applyFill="1" applyBorder="1"/>
    <xf numFmtId="0" fontId="3" fillId="0" borderId="0" xfId="0" applyFont="1" applyBorder="1"/>
    <xf numFmtId="10" fontId="2" fillId="3" borderId="0" xfId="0" applyNumberFormat="1" applyFont="1" applyFill="1" applyBorder="1" applyAlignment="1">
      <alignment horizontal="center"/>
    </xf>
    <xf numFmtId="10" fontId="2" fillId="3" borderId="0" xfId="0" applyNumberFormat="1" applyFont="1" applyFill="1" applyBorder="1" applyAlignment="1">
      <alignment horizontal="right"/>
    </xf>
    <xf numFmtId="166" fontId="0" fillId="0" borderId="0" xfId="0" applyNumberFormat="1" applyBorder="1" applyAlignment="1">
      <alignment horizontal="center"/>
    </xf>
    <xf numFmtId="166" fontId="0" fillId="7" borderId="0" xfId="0" applyNumberFormat="1" applyFill="1" applyBorder="1" applyAlignment="1">
      <alignment horizontal="center"/>
    </xf>
    <xf numFmtId="0" fontId="14" fillId="3" borderId="0" xfId="0" applyFont="1" applyFill="1" applyAlignment="1">
      <alignment horizontal="left"/>
    </xf>
    <xf numFmtId="0" fontId="20" fillId="0" borderId="16" xfId="0" applyFont="1" applyBorder="1"/>
    <xf numFmtId="0" fontId="0" fillId="0" borderId="15" xfId="0" applyBorder="1" applyAlignment="1"/>
    <xf numFmtId="0" fontId="20" fillId="0" borderId="15" xfId="0" applyFont="1" applyBorder="1"/>
    <xf numFmtId="0" fontId="22" fillId="0" borderId="15" xfId="0" applyFont="1" applyBorder="1"/>
    <xf numFmtId="0" fontId="20" fillId="0" borderId="11" xfId="0" applyFont="1" applyBorder="1"/>
    <xf numFmtId="0" fontId="25" fillId="0" borderId="15" xfId="0" applyFont="1" applyBorder="1"/>
    <xf numFmtId="0" fontId="26" fillId="0" borderId="15" xfId="0" applyFont="1" applyBorder="1"/>
    <xf numFmtId="0" fontId="27" fillId="0" borderId="15" xfId="0" applyFont="1" applyBorder="1"/>
    <xf numFmtId="0" fontId="26" fillId="7" borderId="15" xfId="0" applyFont="1" applyFill="1" applyBorder="1"/>
    <xf numFmtId="0" fontId="26" fillId="9" borderId="15" xfId="0" applyFont="1" applyFill="1" applyBorder="1"/>
    <xf numFmtId="0" fontId="26" fillId="5" borderId="11" xfId="0" applyFont="1" applyFill="1" applyBorder="1"/>
    <xf numFmtId="0" fontId="0" fillId="8" borderId="0" xfId="0" applyFill="1"/>
    <xf numFmtId="165" fontId="5" fillId="7" borderId="0" xfId="1" applyNumberFormat="1" applyFont="1" applyFill="1" applyAlignment="1">
      <alignment horizontal="center"/>
    </xf>
    <xf numFmtId="10" fontId="0" fillId="7" borderId="0" xfId="1" applyNumberFormat="1" applyFont="1" applyFill="1" applyAlignment="1">
      <alignment horizontal="right"/>
    </xf>
    <xf numFmtId="167" fontId="0" fillId="7" borderId="0" xfId="3" applyNumberFormat="1" applyFont="1" applyFill="1" applyAlignment="1">
      <alignment horizontal="right"/>
    </xf>
    <xf numFmtId="10" fontId="0" fillId="0" borderId="0" xfId="0" applyNumberFormat="1" applyAlignment="1">
      <alignment horizontal="right"/>
    </xf>
    <xf numFmtId="165" fontId="0" fillId="7" borderId="0" xfId="1" applyNumberFormat="1" applyFont="1" applyFill="1" applyAlignment="1">
      <alignment horizontal="right"/>
    </xf>
    <xf numFmtId="3" fontId="0" fillId="7" borderId="0" xfId="0" applyNumberFormat="1" applyFill="1" applyAlignment="1">
      <alignment horizontal="right"/>
    </xf>
    <xf numFmtId="41" fontId="12" fillId="0" borderId="0" xfId="3" quotePrefix="1" applyFont="1" applyAlignment="1">
      <alignment horizontal="right"/>
    </xf>
    <xf numFmtId="165" fontId="0" fillId="0" borderId="0" xfId="1" applyNumberFormat="1" applyFont="1" applyAlignment="1">
      <alignment horizontal="right"/>
    </xf>
    <xf numFmtId="10" fontId="3" fillId="2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10" fontId="5" fillId="7" borderId="0" xfId="1" applyNumberFormat="1" applyFont="1" applyFill="1" applyAlignment="1">
      <alignment horizontal="right"/>
    </xf>
    <xf numFmtId="166" fontId="5" fillId="7" borderId="0" xfId="0" applyNumberFormat="1" applyFont="1" applyFill="1" applyAlignment="1">
      <alignment horizontal="right"/>
    </xf>
    <xf numFmtId="0" fontId="13" fillId="0" borderId="0" xfId="0" applyFont="1" applyFill="1" applyAlignment="1">
      <alignment horizontal="right"/>
    </xf>
    <xf numFmtId="165" fontId="0" fillId="0" borderId="1" xfId="1" applyNumberFormat="1" applyFont="1" applyBorder="1" applyAlignment="1">
      <alignment horizontal="center"/>
    </xf>
    <xf numFmtId="0" fontId="20" fillId="8" borderId="0" xfId="0" applyFont="1" applyFill="1"/>
    <xf numFmtId="0" fontId="6" fillId="3" borderId="0" xfId="0" applyFont="1" applyFill="1"/>
    <xf numFmtId="0" fontId="20" fillId="8" borderId="1" xfId="0" applyFont="1" applyFill="1" applyBorder="1"/>
    <xf numFmtId="0" fontId="20" fillId="8" borderId="1" xfId="0" applyFont="1" applyFill="1" applyBorder="1" applyAlignment="1">
      <alignment horizontal="center"/>
    </xf>
    <xf numFmtId="0" fontId="23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/>
    </xf>
    <xf numFmtId="0" fontId="26" fillId="8" borderId="0" xfId="0" applyFont="1" applyFill="1" applyBorder="1"/>
    <xf numFmtId="0" fontId="20" fillId="8" borderId="0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20" fillId="0" borderId="0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23" fillId="11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20" fillId="0" borderId="3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6" fillId="3" borderId="0" xfId="0" applyFont="1" applyFill="1" applyAlignment="1">
      <alignment horizontal="center"/>
    </xf>
    <xf numFmtId="0" fontId="20" fillId="0" borderId="12" xfId="0" applyFont="1" applyBorder="1" applyAlignment="1">
      <alignment horizontal="left"/>
    </xf>
    <xf numFmtId="0" fontId="20" fillId="0" borderId="13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6" fillId="3" borderId="0" xfId="0" applyFont="1" applyFill="1" applyAlignment="1">
      <alignment horizontal="left"/>
    </xf>
    <xf numFmtId="0" fontId="20" fillId="8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16" fillId="10" borderId="0" xfId="5" applyFont="1" applyFill="1" applyAlignment="1">
      <alignment horizontal="left"/>
    </xf>
    <xf numFmtId="0" fontId="24" fillId="3" borderId="0" xfId="0" applyFont="1" applyFill="1" applyAlignment="1">
      <alignment horizontal="center"/>
    </xf>
    <xf numFmtId="0" fontId="16" fillId="10" borderId="0" xfId="5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17" fillId="10" borderId="0" xfId="5" applyFont="1" applyFill="1" applyAlignment="1">
      <alignment horizontal="center"/>
    </xf>
    <xf numFmtId="0" fontId="0" fillId="5" borderId="0" xfId="0" applyNumberFormat="1" applyFill="1"/>
    <xf numFmtId="0" fontId="0" fillId="5" borderId="0" xfId="0" applyNumberFormat="1" applyFill="1" applyBorder="1"/>
    <xf numFmtId="0" fontId="0" fillId="5" borderId="0" xfId="3" applyNumberFormat="1" applyFont="1" applyFill="1"/>
    <xf numFmtId="0" fontId="28" fillId="0" borderId="0" xfId="0" applyFont="1"/>
    <xf numFmtId="3" fontId="5" fillId="2" borderId="0" xfId="0" applyNumberFormat="1" applyFont="1" applyFill="1" applyAlignment="1">
      <alignment horizontal="right"/>
    </xf>
    <xf numFmtId="3" fontId="5" fillId="2" borderId="8" xfId="0" applyNumberFormat="1" applyFont="1" applyFill="1" applyBorder="1" applyAlignment="1">
      <alignment horizontal="right"/>
    </xf>
    <xf numFmtId="41" fontId="13" fillId="2" borderId="0" xfId="3" applyFont="1" applyFill="1" applyAlignment="1">
      <alignment horizontal="right"/>
    </xf>
    <xf numFmtId="165" fontId="0" fillId="0" borderId="8" xfId="1" applyNumberFormat="1" applyFont="1" applyBorder="1" applyAlignment="1">
      <alignment horizontal="right"/>
    </xf>
    <xf numFmtId="165" fontId="9" fillId="0" borderId="0" xfId="1" applyNumberFormat="1" applyFont="1" applyAlignment="1">
      <alignment horizontal="right"/>
    </xf>
    <xf numFmtId="3" fontId="5" fillId="2" borderId="3" xfId="0" applyNumberFormat="1" applyFont="1" applyFill="1" applyBorder="1" applyAlignment="1">
      <alignment horizontal="right"/>
    </xf>
    <xf numFmtId="3" fontId="5" fillId="2" borderId="9" xfId="0" applyNumberFormat="1" applyFont="1" applyFill="1" applyBorder="1" applyAlignment="1">
      <alignment horizontal="right"/>
    </xf>
    <xf numFmtId="41" fontId="13" fillId="2" borderId="3" xfId="3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8" xfId="0" applyNumberFormat="1" applyFont="1" applyBorder="1" applyAlignment="1">
      <alignment horizontal="right"/>
    </xf>
    <xf numFmtId="3" fontId="13" fillId="0" borderId="0" xfId="0" applyNumberFormat="1" applyFont="1" applyAlignment="1">
      <alignment horizontal="right"/>
    </xf>
    <xf numFmtId="41" fontId="13" fillId="0" borderId="0" xfId="3" applyFont="1" applyAlignment="1">
      <alignment horizontal="right"/>
    </xf>
    <xf numFmtId="3" fontId="9" fillId="2" borderId="3" xfId="0" applyNumberFormat="1" applyFont="1" applyFill="1" applyBorder="1" applyAlignment="1">
      <alignment horizontal="right"/>
    </xf>
    <xf numFmtId="3" fontId="9" fillId="2" borderId="9" xfId="0" applyNumberFormat="1" applyFont="1" applyFill="1" applyBorder="1" applyAlignment="1">
      <alignment horizontal="right"/>
    </xf>
    <xf numFmtId="41" fontId="9" fillId="2" borderId="3" xfId="0" applyNumberFormat="1" applyFont="1" applyFill="1" applyBorder="1" applyAlignment="1">
      <alignment horizontal="right"/>
    </xf>
    <xf numFmtId="41" fontId="9" fillId="2" borderId="3" xfId="3" applyFont="1" applyFill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0" xfId="0" applyFont="1" applyAlignment="1">
      <alignment horizontal="right"/>
    </xf>
    <xf numFmtId="1" fontId="13" fillId="0" borderId="0" xfId="0" applyNumberFormat="1" applyFont="1" applyAlignment="1">
      <alignment horizontal="right"/>
    </xf>
    <xf numFmtId="3" fontId="0" fillId="2" borderId="3" xfId="0" applyNumberFormat="1" applyFill="1" applyBorder="1" applyAlignment="1">
      <alignment horizontal="right"/>
    </xf>
    <xf numFmtId="3" fontId="0" fillId="2" borderId="9" xfId="0" applyNumberFormat="1" applyFill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8" xfId="0" applyNumberFormat="1" applyBorder="1" applyAlignment="1">
      <alignment horizontal="right"/>
    </xf>
    <xf numFmtId="3" fontId="5" fillId="2" borderId="4" xfId="0" applyNumberFormat="1" applyFont="1" applyFill="1" applyBorder="1" applyAlignment="1">
      <alignment horizontal="right"/>
    </xf>
    <xf numFmtId="3" fontId="5" fillId="2" borderId="10" xfId="0" applyNumberFormat="1" applyFont="1" applyFill="1" applyBorder="1" applyAlignment="1">
      <alignment horizontal="right"/>
    </xf>
    <xf numFmtId="41" fontId="9" fillId="2" borderId="4" xfId="0" applyNumberFormat="1" applyFont="1" applyFill="1" applyBorder="1" applyAlignment="1">
      <alignment horizontal="right"/>
    </xf>
    <xf numFmtId="41" fontId="9" fillId="2" borderId="4" xfId="3" applyFont="1" applyFill="1" applyBorder="1" applyAlignment="1">
      <alignment horizontal="right"/>
    </xf>
    <xf numFmtId="0" fontId="9" fillId="0" borderId="0" xfId="0" applyFont="1" applyAlignment="1">
      <alignment horizontal="right"/>
    </xf>
    <xf numFmtId="166" fontId="0" fillId="0" borderId="5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166" fontId="9" fillId="0" borderId="5" xfId="0" applyNumberFormat="1" applyFont="1" applyBorder="1" applyAlignment="1">
      <alignment horizontal="right"/>
    </xf>
    <xf numFmtId="166" fontId="9" fillId="0" borderId="5" xfId="4" applyNumberFormat="1" applyFont="1" applyBorder="1" applyAlignment="1">
      <alignment horizontal="right"/>
    </xf>
  </cellXfs>
  <cellStyles count="6">
    <cellStyle name="Comma" xfId="2" builtinId="3"/>
    <cellStyle name="Comma [0]" xfId="3" builtinId="6"/>
    <cellStyle name="Currency" xfId="4" builtinId="4"/>
    <cellStyle name="Explanatory Text" xfId="5" builtinId="53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264F15"/>
      <color rgb="FF0000FF"/>
      <color rgb="FFFFFF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18AE-9FAB-4A74-B867-D3C2576E3D8F}">
  <dimension ref="A1:M88"/>
  <sheetViews>
    <sheetView tabSelected="1" workbookViewId="0">
      <selection activeCell="D65" sqref="D65"/>
    </sheetView>
  </sheetViews>
  <sheetFormatPr defaultRowHeight="15" x14ac:dyDescent="0.25"/>
  <cols>
    <col min="1" max="1" width="56.28515625" customWidth="1"/>
    <col min="2" max="11" width="24.7109375" customWidth="1"/>
  </cols>
  <sheetData>
    <row r="1" spans="1:13" ht="24" x14ac:dyDescent="0.4">
      <c r="A1" s="100" t="s">
        <v>104</v>
      </c>
      <c r="B1" s="100"/>
      <c r="C1" s="100"/>
      <c r="D1" s="100"/>
      <c r="E1" s="100"/>
      <c r="F1" s="100"/>
      <c r="G1" s="60"/>
      <c r="H1" s="60"/>
      <c r="I1" s="60"/>
      <c r="J1" s="60"/>
      <c r="K1" s="60"/>
      <c r="L1" s="72"/>
      <c r="M1" s="72"/>
    </row>
    <row r="2" spans="1:13" ht="24" x14ac:dyDescent="0.4">
      <c r="A2" s="91"/>
      <c r="B2" s="91"/>
      <c r="C2" s="91"/>
      <c r="D2" s="91"/>
      <c r="E2" s="91"/>
      <c r="F2" s="91"/>
      <c r="G2" s="92"/>
      <c r="H2" s="92"/>
      <c r="I2" s="92"/>
      <c r="J2" s="92"/>
      <c r="K2" s="92"/>
      <c r="L2" s="72"/>
      <c r="M2" s="72"/>
    </row>
    <row r="3" spans="1:13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72"/>
      <c r="M3" s="72"/>
    </row>
    <row r="4" spans="1:13" ht="21" x14ac:dyDescent="0.35">
      <c r="A4" s="101" t="s">
        <v>124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72"/>
      <c r="M4" s="72"/>
    </row>
    <row r="5" spans="1:13" ht="18.75" x14ac:dyDescent="0.3">
      <c r="A5" s="61" t="s">
        <v>105</v>
      </c>
      <c r="B5" s="108" t="s">
        <v>106</v>
      </c>
      <c r="C5" s="108"/>
      <c r="D5" s="108"/>
      <c r="E5" s="108"/>
      <c r="F5" s="108"/>
      <c r="G5" s="108"/>
      <c r="H5" s="108"/>
      <c r="I5" s="108"/>
      <c r="J5" s="108"/>
      <c r="K5" s="109"/>
      <c r="L5" s="72"/>
      <c r="M5" s="72"/>
    </row>
    <row r="6" spans="1:13" x14ac:dyDescent="0.25">
      <c r="A6" s="62"/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72"/>
      <c r="M6" s="72"/>
    </row>
    <row r="7" spans="1:13" ht="18.75" x14ac:dyDescent="0.3">
      <c r="A7" s="63" t="s">
        <v>107</v>
      </c>
      <c r="B7" s="96" t="s">
        <v>108</v>
      </c>
      <c r="C7" s="96"/>
      <c r="D7" s="96"/>
      <c r="E7" s="96"/>
      <c r="F7" s="96"/>
      <c r="G7" s="96"/>
      <c r="H7" s="96"/>
      <c r="I7" s="96"/>
      <c r="J7" s="96"/>
      <c r="K7" s="97"/>
      <c r="L7" s="72"/>
      <c r="M7" s="72"/>
    </row>
    <row r="8" spans="1:13" x14ac:dyDescent="0.25">
      <c r="A8" s="62"/>
      <c r="B8" s="106"/>
      <c r="C8" s="106"/>
      <c r="D8" s="106"/>
      <c r="E8" s="106"/>
      <c r="F8" s="106"/>
      <c r="G8" s="106"/>
      <c r="H8" s="106"/>
      <c r="I8" s="106"/>
      <c r="J8" s="106"/>
      <c r="K8" s="107"/>
      <c r="L8" s="72"/>
      <c r="M8" s="72"/>
    </row>
    <row r="9" spans="1:13" ht="21" x14ac:dyDescent="0.35">
      <c r="A9" s="64" t="s">
        <v>109</v>
      </c>
      <c r="B9" s="96" t="s">
        <v>110</v>
      </c>
      <c r="C9" s="96"/>
      <c r="D9" s="96"/>
      <c r="E9" s="96"/>
      <c r="F9" s="96"/>
      <c r="G9" s="96"/>
      <c r="H9" s="96"/>
      <c r="I9" s="96"/>
      <c r="J9" s="96"/>
      <c r="K9" s="97"/>
      <c r="L9" s="72"/>
      <c r="M9" s="72"/>
    </row>
    <row r="10" spans="1:13" x14ac:dyDescent="0.25">
      <c r="A10" s="62"/>
      <c r="B10" s="106"/>
      <c r="C10" s="106"/>
      <c r="D10" s="106"/>
      <c r="E10" s="106"/>
      <c r="F10" s="106"/>
      <c r="G10" s="106"/>
      <c r="H10" s="106"/>
      <c r="I10" s="106"/>
      <c r="J10" s="106"/>
      <c r="K10" s="107"/>
      <c r="L10" s="72"/>
      <c r="M10" s="72"/>
    </row>
    <row r="11" spans="1:13" ht="18.75" x14ac:dyDescent="0.3">
      <c r="A11" s="63" t="s">
        <v>111</v>
      </c>
      <c r="B11" s="96" t="s">
        <v>112</v>
      </c>
      <c r="C11" s="96"/>
      <c r="D11" s="96"/>
      <c r="E11" s="96"/>
      <c r="F11" s="96"/>
      <c r="G11" s="96"/>
      <c r="H11" s="96"/>
      <c r="I11" s="96"/>
      <c r="J11" s="96"/>
      <c r="K11" s="97"/>
      <c r="L11" s="72"/>
      <c r="M11" s="72"/>
    </row>
    <row r="12" spans="1:13" x14ac:dyDescent="0.25">
      <c r="A12" s="62"/>
      <c r="B12" s="106"/>
      <c r="C12" s="106"/>
      <c r="D12" s="106"/>
      <c r="E12" s="106"/>
      <c r="F12" s="106"/>
      <c r="G12" s="106"/>
      <c r="H12" s="106"/>
      <c r="I12" s="106"/>
      <c r="J12" s="106"/>
      <c r="K12" s="107"/>
      <c r="L12" s="72"/>
      <c r="M12" s="72"/>
    </row>
    <row r="13" spans="1:13" ht="18.75" x14ac:dyDescent="0.3">
      <c r="A13" s="63" t="s">
        <v>113</v>
      </c>
      <c r="B13" s="96" t="s">
        <v>114</v>
      </c>
      <c r="C13" s="96"/>
      <c r="D13" s="96"/>
      <c r="E13" s="96"/>
      <c r="F13" s="96"/>
      <c r="G13" s="96"/>
      <c r="H13" s="96"/>
      <c r="I13" s="96"/>
      <c r="J13" s="96"/>
      <c r="K13" s="97"/>
      <c r="L13" s="72"/>
      <c r="M13" s="72"/>
    </row>
    <row r="14" spans="1:13" x14ac:dyDescent="0.25">
      <c r="A14" s="62"/>
      <c r="B14" s="106"/>
      <c r="C14" s="106"/>
      <c r="D14" s="106"/>
      <c r="E14" s="106"/>
      <c r="F14" s="106"/>
      <c r="G14" s="106"/>
      <c r="H14" s="106"/>
      <c r="I14" s="106"/>
      <c r="J14" s="106"/>
      <c r="K14" s="107"/>
      <c r="L14" s="72"/>
      <c r="M14" s="72"/>
    </row>
    <row r="15" spans="1:13" ht="18.75" x14ac:dyDescent="0.3">
      <c r="A15" s="65" t="s">
        <v>115</v>
      </c>
      <c r="B15" s="98" t="s">
        <v>116</v>
      </c>
      <c r="C15" s="98"/>
      <c r="D15" s="98"/>
      <c r="E15" s="98"/>
      <c r="F15" s="98"/>
      <c r="G15" s="98"/>
      <c r="H15" s="98"/>
      <c r="I15" s="98"/>
      <c r="J15" s="98"/>
      <c r="K15" s="99"/>
      <c r="L15" s="72"/>
      <c r="M15" s="72"/>
    </row>
    <row r="16" spans="1:13" x14ac:dyDescent="0.25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72"/>
      <c r="M16" s="72"/>
    </row>
    <row r="17" spans="1:13" x14ac:dyDescent="0.25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</row>
    <row r="18" spans="1:13" ht="21" x14ac:dyDescent="0.35">
      <c r="A18" s="103" t="s">
        <v>117</v>
      </c>
      <c r="B18" s="104"/>
      <c r="C18" s="104"/>
      <c r="D18" s="104"/>
      <c r="E18" s="104"/>
      <c r="F18" s="105"/>
      <c r="G18" s="72"/>
      <c r="H18" s="72"/>
      <c r="I18" s="72"/>
      <c r="J18" s="72"/>
      <c r="K18" s="72"/>
      <c r="L18" s="72"/>
      <c r="M18" s="72"/>
    </row>
    <row r="19" spans="1:13" ht="18.75" x14ac:dyDescent="0.3">
      <c r="A19" s="66" t="s">
        <v>118</v>
      </c>
      <c r="B19" s="96" t="s">
        <v>134</v>
      </c>
      <c r="C19" s="96"/>
      <c r="D19" s="96"/>
      <c r="E19" s="96"/>
      <c r="F19" s="97"/>
      <c r="G19" s="72"/>
      <c r="H19" s="72"/>
      <c r="I19" s="72"/>
      <c r="J19" s="72"/>
      <c r="K19" s="72"/>
      <c r="L19" s="72"/>
      <c r="M19" s="72"/>
    </row>
    <row r="20" spans="1:13" ht="18.75" x14ac:dyDescent="0.3">
      <c r="A20" s="67" t="s">
        <v>118</v>
      </c>
      <c r="B20" s="96" t="s">
        <v>133</v>
      </c>
      <c r="C20" s="96"/>
      <c r="D20" s="96"/>
      <c r="E20" s="96"/>
      <c r="F20" s="97"/>
      <c r="G20" s="72"/>
      <c r="H20" s="72"/>
      <c r="I20" s="72"/>
      <c r="J20" s="72"/>
      <c r="K20" s="72"/>
      <c r="L20" s="72"/>
      <c r="M20" s="72"/>
    </row>
    <row r="21" spans="1:13" ht="18.75" x14ac:dyDescent="0.3">
      <c r="A21" s="68" t="s">
        <v>118</v>
      </c>
      <c r="B21" s="96" t="s">
        <v>132</v>
      </c>
      <c r="C21" s="96"/>
      <c r="D21" s="96"/>
      <c r="E21" s="96"/>
      <c r="F21" s="97"/>
      <c r="G21" s="72"/>
      <c r="H21" s="72"/>
      <c r="I21" s="72"/>
      <c r="J21" s="72"/>
      <c r="K21" s="72"/>
      <c r="L21" s="72"/>
      <c r="M21" s="72"/>
    </row>
    <row r="22" spans="1:13" ht="18.75" x14ac:dyDescent="0.3">
      <c r="A22" s="69" t="s">
        <v>118</v>
      </c>
      <c r="B22" s="96" t="s">
        <v>131</v>
      </c>
      <c r="C22" s="96"/>
      <c r="D22" s="96"/>
      <c r="E22" s="96"/>
      <c r="F22" s="97"/>
      <c r="G22" s="72"/>
      <c r="H22" s="72"/>
      <c r="I22" s="72"/>
      <c r="J22" s="72"/>
      <c r="K22" s="72"/>
      <c r="L22" s="72"/>
      <c r="M22" s="72"/>
    </row>
    <row r="23" spans="1:13" ht="18.75" x14ac:dyDescent="0.3">
      <c r="A23" s="70" t="s">
        <v>118</v>
      </c>
      <c r="B23" s="96" t="s">
        <v>129</v>
      </c>
      <c r="C23" s="96"/>
      <c r="D23" s="96"/>
      <c r="E23" s="96"/>
      <c r="F23" s="97"/>
      <c r="G23" s="72"/>
      <c r="H23" s="72"/>
      <c r="I23" s="72"/>
      <c r="J23" s="72"/>
      <c r="K23" s="72"/>
      <c r="L23" s="72"/>
      <c r="M23" s="72"/>
    </row>
    <row r="24" spans="1:13" ht="18.75" x14ac:dyDescent="0.3">
      <c r="A24" s="71" t="s">
        <v>118</v>
      </c>
      <c r="B24" s="98" t="s">
        <v>130</v>
      </c>
      <c r="C24" s="98"/>
      <c r="D24" s="98"/>
      <c r="E24" s="98"/>
      <c r="F24" s="99"/>
      <c r="G24" s="72"/>
      <c r="H24" s="72"/>
      <c r="I24" s="72"/>
      <c r="J24" s="72"/>
      <c r="K24" s="72"/>
      <c r="L24" s="72"/>
      <c r="M24" s="72"/>
    </row>
    <row r="25" spans="1:13" ht="18.75" x14ac:dyDescent="0.3">
      <c r="A25" s="93"/>
      <c r="B25" s="94"/>
      <c r="C25" s="94"/>
      <c r="D25" s="94"/>
      <c r="E25" s="94"/>
      <c r="F25" s="94"/>
      <c r="G25" s="72"/>
      <c r="H25" s="72"/>
      <c r="I25" s="72"/>
      <c r="J25" s="72"/>
      <c r="K25" s="72"/>
      <c r="L25" s="72"/>
      <c r="M25" s="72"/>
    </row>
    <row r="26" spans="1:13" x14ac:dyDescent="0.2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</row>
    <row r="27" spans="1:13" ht="21" x14ac:dyDescent="0.35">
      <c r="A27" s="110" t="s">
        <v>119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72"/>
      <c r="M27" s="72"/>
    </row>
    <row r="28" spans="1:13" ht="15.75" customHeight="1" x14ac:dyDescent="0.3">
      <c r="A28" s="111" t="s">
        <v>123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9"/>
      <c r="L28" s="72"/>
      <c r="M28" s="72"/>
    </row>
    <row r="29" spans="1:13" ht="15.75" customHeight="1" x14ac:dyDescent="0.25">
      <c r="A29" s="112" t="s">
        <v>120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4"/>
      <c r="L29" s="72"/>
      <c r="M29" s="72"/>
    </row>
    <row r="30" spans="1:13" ht="15.75" customHeight="1" x14ac:dyDescent="0.3">
      <c r="A30" s="115" t="s">
        <v>121</v>
      </c>
      <c r="B30" s="96"/>
      <c r="C30" s="96"/>
      <c r="D30" s="96"/>
      <c r="E30" s="96"/>
      <c r="F30" s="96"/>
      <c r="G30" s="96"/>
      <c r="H30" s="96"/>
      <c r="I30" s="96"/>
      <c r="J30" s="96"/>
      <c r="K30" s="97"/>
      <c r="L30" s="72"/>
      <c r="M30" s="72"/>
    </row>
    <row r="31" spans="1:13" ht="15.75" customHeight="1" x14ac:dyDescent="0.3">
      <c r="A31" s="116" t="s">
        <v>122</v>
      </c>
      <c r="B31" s="98"/>
      <c r="C31" s="98"/>
      <c r="D31" s="98"/>
      <c r="E31" s="98"/>
      <c r="F31" s="98"/>
      <c r="G31" s="98"/>
      <c r="H31" s="98"/>
      <c r="I31" s="98"/>
      <c r="J31" s="98"/>
      <c r="K31" s="99"/>
      <c r="L31" s="72"/>
      <c r="M31" s="72"/>
    </row>
    <row r="32" spans="1:13" ht="15.75" customHeight="1" x14ac:dyDescent="0.3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72"/>
      <c r="M32" s="72"/>
    </row>
    <row r="33" spans="1:13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</row>
    <row r="34" spans="1:13" ht="21" x14ac:dyDescent="0.35">
      <c r="A34" s="110" t="s">
        <v>125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72"/>
      <c r="M34" s="72"/>
    </row>
    <row r="35" spans="1:13" ht="18.75" x14ac:dyDescent="0.3">
      <c r="A35" s="111" t="s">
        <v>126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9"/>
      <c r="L35" s="72"/>
      <c r="M35" s="72"/>
    </row>
    <row r="36" spans="1:13" ht="18.75" x14ac:dyDescent="0.3">
      <c r="A36" s="115" t="s">
        <v>127</v>
      </c>
      <c r="B36" s="96"/>
      <c r="C36" s="96"/>
      <c r="D36" s="96"/>
      <c r="E36" s="96"/>
      <c r="F36" s="96"/>
      <c r="G36" s="96"/>
      <c r="H36" s="96"/>
      <c r="I36" s="96"/>
      <c r="J36" s="96"/>
      <c r="K36" s="97"/>
      <c r="L36" s="72"/>
      <c r="M36" s="72"/>
    </row>
    <row r="37" spans="1:13" ht="18.75" x14ac:dyDescent="0.3">
      <c r="A37" s="116" t="s">
        <v>128</v>
      </c>
      <c r="B37" s="98"/>
      <c r="C37" s="98"/>
      <c r="D37" s="98"/>
      <c r="E37" s="98"/>
      <c r="F37" s="98"/>
      <c r="G37" s="98"/>
      <c r="H37" s="98"/>
      <c r="I37" s="98"/>
      <c r="J37" s="98"/>
      <c r="K37" s="99"/>
      <c r="L37" s="72"/>
      <c r="M37" s="72"/>
    </row>
    <row r="38" spans="1:13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</row>
    <row r="39" spans="1:13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</row>
    <row r="40" spans="1:13" ht="21" x14ac:dyDescent="0.35">
      <c r="A40" s="110" t="s">
        <v>137</v>
      </c>
      <c r="B40" s="110"/>
      <c r="C40" s="110"/>
      <c r="D40" s="110"/>
      <c r="E40" s="110"/>
      <c r="F40" s="110"/>
      <c r="G40" s="110"/>
      <c r="H40" s="110"/>
      <c r="I40" s="110"/>
      <c r="J40" s="72"/>
      <c r="K40" s="72"/>
      <c r="L40" s="72"/>
      <c r="M40" s="72"/>
    </row>
    <row r="41" spans="1:13" ht="18.75" x14ac:dyDescent="0.3">
      <c r="A41" s="87" t="s">
        <v>138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</row>
    <row r="42" spans="1:13" ht="18.75" x14ac:dyDescent="0.3">
      <c r="A42" s="87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</row>
    <row r="43" spans="1:13" ht="21" x14ac:dyDescent="0.35">
      <c r="A43" s="117" t="s">
        <v>139</v>
      </c>
      <c r="B43" s="117"/>
      <c r="C43" s="117"/>
      <c r="D43" s="117"/>
      <c r="E43" s="72"/>
      <c r="F43" s="72"/>
      <c r="G43" s="72"/>
      <c r="H43" s="72"/>
      <c r="I43" s="72"/>
      <c r="J43" s="72"/>
      <c r="K43" s="72"/>
      <c r="L43" s="72"/>
      <c r="M43" s="72"/>
    </row>
    <row r="44" spans="1:13" x14ac:dyDescent="0.2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</row>
    <row r="45" spans="1:13" ht="18.75" x14ac:dyDescent="0.3">
      <c r="A45" s="95" t="s">
        <v>140</v>
      </c>
      <c r="B45" s="95" t="s">
        <v>141</v>
      </c>
      <c r="C45" s="120" t="s">
        <v>142</v>
      </c>
      <c r="D45" s="120"/>
      <c r="E45" s="120"/>
      <c r="F45" s="120"/>
      <c r="G45" s="120"/>
      <c r="H45" s="120"/>
      <c r="I45" s="120"/>
      <c r="J45" s="72"/>
      <c r="K45" s="72"/>
      <c r="L45" s="72"/>
      <c r="M45" s="72"/>
    </row>
    <row r="46" spans="1:13" ht="18.75" x14ac:dyDescent="0.3">
      <c r="A46" s="89" t="s">
        <v>143</v>
      </c>
      <c r="B46" s="90" t="s">
        <v>48</v>
      </c>
      <c r="C46" s="121" t="s">
        <v>148</v>
      </c>
      <c r="D46" s="121"/>
      <c r="E46" s="121"/>
      <c r="F46" s="121"/>
      <c r="G46" s="121"/>
      <c r="H46" s="121"/>
      <c r="I46" s="121"/>
      <c r="J46" s="72"/>
      <c r="K46" s="72"/>
      <c r="L46" s="72"/>
      <c r="M46" s="72"/>
    </row>
    <row r="47" spans="1:13" ht="18.75" x14ac:dyDescent="0.3">
      <c r="A47" s="89" t="s">
        <v>144</v>
      </c>
      <c r="B47" s="90" t="s">
        <v>48</v>
      </c>
      <c r="C47" s="122" t="s">
        <v>149</v>
      </c>
      <c r="D47" s="122"/>
      <c r="E47" s="122"/>
      <c r="F47" s="122"/>
      <c r="G47" s="122"/>
      <c r="H47" s="122"/>
      <c r="I47" s="122"/>
      <c r="J47" s="72"/>
      <c r="K47" s="72"/>
      <c r="L47" s="72"/>
      <c r="M47" s="72"/>
    </row>
    <row r="48" spans="1:13" ht="18.75" x14ac:dyDescent="0.3">
      <c r="A48" s="89" t="s">
        <v>145</v>
      </c>
      <c r="B48" s="90" t="s">
        <v>48</v>
      </c>
      <c r="C48" s="122" t="s">
        <v>150</v>
      </c>
      <c r="D48" s="122"/>
      <c r="E48" s="122"/>
      <c r="F48" s="122"/>
      <c r="G48" s="122"/>
      <c r="H48" s="122"/>
      <c r="I48" s="122"/>
      <c r="J48" s="72"/>
      <c r="K48" s="72"/>
      <c r="L48" s="72"/>
      <c r="M48" s="72"/>
    </row>
    <row r="49" spans="1:13" ht="18.75" x14ac:dyDescent="0.3">
      <c r="A49" s="89" t="s">
        <v>146</v>
      </c>
      <c r="B49" s="90" t="s">
        <v>48</v>
      </c>
      <c r="C49" s="122" t="s">
        <v>151</v>
      </c>
      <c r="D49" s="122"/>
      <c r="E49" s="122"/>
      <c r="F49" s="122"/>
      <c r="G49" s="122"/>
      <c r="H49" s="122"/>
      <c r="I49" s="122"/>
      <c r="J49" s="72"/>
      <c r="K49" s="72"/>
      <c r="L49" s="72"/>
      <c r="M49" s="72"/>
    </row>
    <row r="50" spans="1:13" ht="18.75" x14ac:dyDescent="0.3">
      <c r="A50" s="89" t="s">
        <v>147</v>
      </c>
      <c r="B50" s="90" t="s">
        <v>48</v>
      </c>
      <c r="C50" s="122" t="s">
        <v>152</v>
      </c>
      <c r="D50" s="122"/>
      <c r="E50" s="122"/>
      <c r="F50" s="122"/>
      <c r="G50" s="122"/>
      <c r="H50" s="122"/>
      <c r="I50" s="122"/>
      <c r="J50" s="72"/>
      <c r="K50" s="72"/>
      <c r="L50" s="72"/>
      <c r="M50" s="72"/>
    </row>
    <row r="51" spans="1:13" x14ac:dyDescent="0.2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</row>
    <row r="52" spans="1:13" x14ac:dyDescent="0.25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</row>
    <row r="53" spans="1:13" ht="21" x14ac:dyDescent="0.35">
      <c r="A53" s="88" t="s">
        <v>153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</row>
    <row r="54" spans="1:13" ht="18.75" x14ac:dyDescent="0.3">
      <c r="A54" s="118" t="s">
        <v>154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72"/>
      <c r="M54" s="72"/>
    </row>
    <row r="55" spans="1:13" ht="18.75" x14ac:dyDescent="0.3">
      <c r="A55" s="87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</row>
    <row r="56" spans="1:13" ht="18.75" x14ac:dyDescent="0.3">
      <c r="A56" s="87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</row>
    <row r="57" spans="1:13" ht="21" x14ac:dyDescent="0.35">
      <c r="A57" s="88" t="s">
        <v>155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</row>
    <row r="58" spans="1:13" ht="18.75" x14ac:dyDescent="0.3">
      <c r="A58" s="119" t="s">
        <v>156</v>
      </c>
      <c r="B58" s="119"/>
      <c r="C58" s="119"/>
      <c r="D58" s="119"/>
      <c r="E58" s="119"/>
      <c r="F58" s="119"/>
      <c r="G58" s="119"/>
      <c r="H58" s="119"/>
      <c r="I58" s="72"/>
      <c r="J58" s="72"/>
      <c r="K58" s="72"/>
      <c r="L58" s="72"/>
    </row>
    <row r="59" spans="1:13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</row>
    <row r="60" spans="1:13" x14ac:dyDescent="0.25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1:13" ht="21" x14ac:dyDescent="0.35">
      <c r="A61" s="88" t="s">
        <v>157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</row>
    <row r="62" spans="1:13" ht="18.75" x14ac:dyDescent="0.3">
      <c r="A62" s="119" t="s">
        <v>158</v>
      </c>
      <c r="B62" s="119"/>
      <c r="C62" s="119"/>
      <c r="D62" s="119"/>
      <c r="E62" s="119"/>
      <c r="F62" s="72"/>
      <c r="G62" s="72"/>
      <c r="H62" s="72"/>
      <c r="I62" s="72"/>
      <c r="J62" s="72"/>
      <c r="K62" s="72"/>
      <c r="L62" s="72"/>
    </row>
    <row r="63" spans="1:13" x14ac:dyDescent="0.25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3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</row>
    <row r="65" spans="1:12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</row>
    <row r="66" spans="1:12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</row>
    <row r="67" spans="1:12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</row>
    <row r="68" spans="1:12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1:12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1:12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</row>
    <row r="71" spans="1:12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</row>
    <row r="72" spans="1:12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</row>
    <row r="73" spans="1:12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</row>
    <row r="74" spans="1:12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</row>
    <row r="75" spans="1:12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</row>
    <row r="76" spans="1:12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</row>
    <row r="77" spans="1:12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1:12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1:12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1:12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1:12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2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</row>
    <row r="84" spans="1:12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</row>
    <row r="85" spans="1:12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1:12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</row>
    <row r="87" spans="1:12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</row>
    <row r="88" spans="1:12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</sheetData>
  <mergeCells count="42">
    <mergeCell ref="A43:D43"/>
    <mergeCell ref="A54:K54"/>
    <mergeCell ref="A58:H58"/>
    <mergeCell ref="A62:E62"/>
    <mergeCell ref="C45:I45"/>
    <mergeCell ref="C46:I46"/>
    <mergeCell ref="C47:I47"/>
    <mergeCell ref="C48:I48"/>
    <mergeCell ref="C49:I49"/>
    <mergeCell ref="C50:I50"/>
    <mergeCell ref="A35:K35"/>
    <mergeCell ref="A36:K36"/>
    <mergeCell ref="A37:K37"/>
    <mergeCell ref="A34:K34"/>
    <mergeCell ref="A40:I40"/>
    <mergeCell ref="A27:K27"/>
    <mergeCell ref="A28:K28"/>
    <mergeCell ref="A29:K29"/>
    <mergeCell ref="A30:K30"/>
    <mergeCell ref="A31:K31"/>
    <mergeCell ref="B24:F24"/>
    <mergeCell ref="B8:K8"/>
    <mergeCell ref="B10:K10"/>
    <mergeCell ref="B12:K12"/>
    <mergeCell ref="B14:K14"/>
    <mergeCell ref="B9:K9"/>
    <mergeCell ref="B23:F23"/>
    <mergeCell ref="B19:F19"/>
    <mergeCell ref="B20:F20"/>
    <mergeCell ref="B21:F21"/>
    <mergeCell ref="B22:F22"/>
    <mergeCell ref="B13:K13"/>
    <mergeCell ref="B15:K15"/>
    <mergeCell ref="A1:F1"/>
    <mergeCell ref="B11:K11"/>
    <mergeCell ref="A4:K4"/>
    <mergeCell ref="A16:K16"/>
    <mergeCell ref="A3:K3"/>
    <mergeCell ref="A18:F18"/>
    <mergeCell ref="B5:K5"/>
    <mergeCell ref="B7:K7"/>
    <mergeCell ref="B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8BD4-CD80-47D7-A7C7-217247F7003A}">
  <dimension ref="A1:Q37"/>
  <sheetViews>
    <sheetView workbookViewId="0">
      <selection activeCell="I15" sqref="I15"/>
    </sheetView>
  </sheetViews>
  <sheetFormatPr defaultRowHeight="15" x14ac:dyDescent="0.25"/>
  <cols>
    <col min="1" max="1" width="2.28515625" customWidth="1"/>
    <col min="2" max="2" width="38.5703125" customWidth="1"/>
    <col min="3" max="7" width="12.7109375" customWidth="1"/>
    <col min="12" max="12" width="27.5703125" customWidth="1"/>
  </cols>
  <sheetData>
    <row r="1" spans="1:17" ht="24" x14ac:dyDescent="0.4">
      <c r="A1" s="13" t="s">
        <v>48</v>
      </c>
      <c r="B1" s="13"/>
      <c r="C1" s="13"/>
      <c r="D1" s="13"/>
    </row>
    <row r="2" spans="1:17" x14ac:dyDescent="0.25">
      <c r="A2" s="123" t="s">
        <v>103</v>
      </c>
      <c r="B2" s="123"/>
      <c r="C2" s="123"/>
      <c r="D2" s="123"/>
      <c r="L2" s="124" t="s">
        <v>135</v>
      </c>
      <c r="M2" s="124"/>
      <c r="N2" s="124"/>
      <c r="O2" s="124"/>
      <c r="P2" s="124"/>
      <c r="Q2" s="124"/>
    </row>
    <row r="4" spans="1:17" ht="15.75" x14ac:dyDescent="0.25">
      <c r="B4" s="29" t="s">
        <v>49</v>
      </c>
      <c r="C4" s="16"/>
      <c r="D4" s="16"/>
      <c r="M4" s="17" t="s">
        <v>5</v>
      </c>
      <c r="N4" s="17" t="s">
        <v>6</v>
      </c>
      <c r="O4" s="17" t="s">
        <v>7</v>
      </c>
      <c r="P4" s="17" t="s">
        <v>8</v>
      </c>
      <c r="Q4" s="17" t="s">
        <v>9</v>
      </c>
    </row>
    <row r="5" spans="1:17" x14ac:dyDescent="0.25"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L5" s="18" t="s">
        <v>50</v>
      </c>
      <c r="M5" s="86">
        <v>0.08</v>
      </c>
      <c r="N5" s="86">
        <v>7.0000000000000007E-2</v>
      </c>
      <c r="O5" s="86">
        <v>6.5000000000000002E-2</v>
      </c>
      <c r="P5" s="86">
        <v>0.06</v>
      </c>
      <c r="Q5" s="86">
        <v>0.06</v>
      </c>
    </row>
    <row r="6" spans="1:17" x14ac:dyDescent="0.25">
      <c r="B6" t="s">
        <v>50</v>
      </c>
      <c r="C6" s="73">
        <v>0.08</v>
      </c>
      <c r="D6" s="73">
        <v>7.0000000000000007E-2</v>
      </c>
      <c r="E6" s="73">
        <v>6.5000000000000002E-2</v>
      </c>
      <c r="F6" s="73">
        <v>0.06</v>
      </c>
      <c r="G6" s="73">
        <v>0.06</v>
      </c>
      <c r="L6" s="18" t="s">
        <v>13</v>
      </c>
      <c r="M6" s="86">
        <v>0.27</v>
      </c>
      <c r="N6" s="86">
        <v>0.27</v>
      </c>
      <c r="O6" s="86">
        <v>0.27</v>
      </c>
      <c r="P6" s="86">
        <v>0.27</v>
      </c>
      <c r="Q6" s="86">
        <v>0.27</v>
      </c>
    </row>
    <row r="7" spans="1:17" x14ac:dyDescent="0.25">
      <c r="B7" t="s">
        <v>13</v>
      </c>
      <c r="C7" s="73">
        <v>0.27</v>
      </c>
      <c r="D7" s="73">
        <v>0.27</v>
      </c>
      <c r="E7" s="73">
        <v>0.27</v>
      </c>
      <c r="F7" s="73">
        <v>0.27</v>
      </c>
      <c r="G7" s="73">
        <v>0.27</v>
      </c>
      <c r="L7" s="18" t="s">
        <v>53</v>
      </c>
      <c r="M7" s="86">
        <v>2.1000000000000001E-2</v>
      </c>
      <c r="N7" s="86">
        <v>2.1000000000000001E-2</v>
      </c>
      <c r="O7" s="86">
        <v>2.1000000000000001E-2</v>
      </c>
      <c r="P7" s="86">
        <v>2.1000000000000001E-2</v>
      </c>
      <c r="Q7" s="86">
        <v>2.1000000000000001E-2</v>
      </c>
    </row>
    <row r="8" spans="1:17" x14ac:dyDescent="0.25">
      <c r="B8" t="s">
        <v>53</v>
      </c>
      <c r="C8" s="73">
        <v>2.1000000000000001E-2</v>
      </c>
      <c r="D8" s="73">
        <v>2.1000000000000001E-2</v>
      </c>
      <c r="E8" s="73">
        <v>2.1000000000000001E-2</v>
      </c>
      <c r="F8" s="73">
        <v>2.1000000000000001E-2</v>
      </c>
      <c r="G8" s="73">
        <v>2.1000000000000001E-2</v>
      </c>
      <c r="L8" s="18" t="s">
        <v>51</v>
      </c>
      <c r="M8" s="86">
        <v>3.5000000000000003E-2</v>
      </c>
      <c r="N8" s="86">
        <v>3.5000000000000003E-2</v>
      </c>
      <c r="O8" s="86">
        <v>3.5000000000000003E-2</v>
      </c>
      <c r="P8" s="86">
        <v>3.5000000000000003E-2</v>
      </c>
      <c r="Q8" s="86">
        <v>3.5000000000000003E-2</v>
      </c>
    </row>
    <row r="9" spans="1:17" x14ac:dyDescent="0.25">
      <c r="B9" t="s">
        <v>51</v>
      </c>
      <c r="C9" s="73">
        <v>3.5000000000000003E-2</v>
      </c>
      <c r="D9" s="73">
        <v>3.5000000000000003E-2</v>
      </c>
      <c r="E9" s="73">
        <v>3.5000000000000003E-2</v>
      </c>
      <c r="F9" s="73">
        <v>3.5000000000000003E-2</v>
      </c>
      <c r="G9" s="73">
        <v>3.5000000000000003E-2</v>
      </c>
      <c r="L9" s="18" t="s">
        <v>52</v>
      </c>
      <c r="M9" s="86">
        <v>0.01</v>
      </c>
      <c r="N9" s="86">
        <v>0.01</v>
      </c>
      <c r="O9" s="86">
        <v>0.01</v>
      </c>
      <c r="P9" s="86">
        <v>0.01</v>
      </c>
      <c r="Q9" s="86">
        <v>0.01</v>
      </c>
    </row>
    <row r="10" spans="1:17" x14ac:dyDescent="0.25">
      <c r="B10" t="s">
        <v>52</v>
      </c>
      <c r="C10" s="73">
        <v>0.01</v>
      </c>
      <c r="D10" s="73">
        <v>0.01</v>
      </c>
      <c r="E10" s="73">
        <v>0.01</v>
      </c>
      <c r="F10" s="73">
        <v>0.01</v>
      </c>
      <c r="G10" s="73">
        <v>0.01</v>
      </c>
      <c r="L10" s="18" t="s">
        <v>54</v>
      </c>
      <c r="M10" s="86">
        <v>0.13</v>
      </c>
      <c r="N10" s="86">
        <v>0.13</v>
      </c>
      <c r="O10" s="86">
        <v>0.13</v>
      </c>
      <c r="P10" s="86">
        <v>0.13</v>
      </c>
      <c r="Q10" s="86">
        <v>0.13</v>
      </c>
    </row>
    <row r="11" spans="1:17" x14ac:dyDescent="0.25">
      <c r="B11" t="s">
        <v>54</v>
      </c>
      <c r="C11" s="73">
        <v>0.13</v>
      </c>
      <c r="D11" s="73">
        <v>0.13</v>
      </c>
      <c r="E11" s="73">
        <v>0.13</v>
      </c>
      <c r="F11" s="73">
        <v>0.13</v>
      </c>
      <c r="G11" s="73">
        <v>0.13</v>
      </c>
      <c r="L11" s="18" t="s">
        <v>55</v>
      </c>
      <c r="M11" s="86">
        <v>0.41</v>
      </c>
      <c r="N11" s="86">
        <v>0.41</v>
      </c>
      <c r="O11" s="86">
        <v>0.41</v>
      </c>
      <c r="P11" s="86">
        <v>0.41</v>
      </c>
      <c r="Q11" s="86">
        <v>0.41</v>
      </c>
    </row>
    <row r="12" spans="1:17" x14ac:dyDescent="0.25">
      <c r="B12" t="s">
        <v>55</v>
      </c>
      <c r="C12" s="73">
        <v>0.41</v>
      </c>
      <c r="D12" s="73">
        <v>0.41</v>
      </c>
      <c r="E12" s="73">
        <v>0.41</v>
      </c>
      <c r="F12" s="73">
        <v>0.41</v>
      </c>
      <c r="G12" s="73">
        <v>0.41</v>
      </c>
      <c r="L12" s="18" t="s">
        <v>56</v>
      </c>
      <c r="M12" s="86">
        <v>0.215</v>
      </c>
      <c r="N12" s="86">
        <v>0.215</v>
      </c>
      <c r="O12" s="86">
        <v>0.215</v>
      </c>
      <c r="P12" s="86">
        <v>0.215</v>
      </c>
      <c r="Q12" s="86">
        <v>0.215</v>
      </c>
    </row>
    <row r="13" spans="1:17" x14ac:dyDescent="0.25">
      <c r="B13" t="s">
        <v>56</v>
      </c>
      <c r="C13" s="73">
        <v>0.215</v>
      </c>
      <c r="D13" s="73">
        <v>0.215</v>
      </c>
      <c r="E13" s="73">
        <v>0.215</v>
      </c>
      <c r="F13" s="73">
        <v>0.215</v>
      </c>
      <c r="G13" s="73">
        <v>0.215</v>
      </c>
      <c r="L13" s="18" t="s">
        <v>57</v>
      </c>
      <c r="M13" s="86">
        <v>0.04</v>
      </c>
      <c r="N13" s="86">
        <v>0.04</v>
      </c>
      <c r="O13" s="86">
        <v>0.04</v>
      </c>
      <c r="P13" s="86">
        <v>0.04</v>
      </c>
      <c r="Q13" s="86">
        <v>0.04</v>
      </c>
    </row>
    <row r="14" spans="1:17" x14ac:dyDescent="0.25">
      <c r="B14" t="s">
        <v>57</v>
      </c>
      <c r="C14" s="73">
        <v>0.04</v>
      </c>
      <c r="D14" s="73">
        <v>0.04</v>
      </c>
      <c r="E14" s="73">
        <v>0.04</v>
      </c>
      <c r="F14" s="73">
        <v>0.04</v>
      </c>
      <c r="G14" s="73">
        <v>0.04</v>
      </c>
      <c r="L14" s="18" t="s">
        <v>58</v>
      </c>
      <c r="M14" s="86">
        <v>1.4999999999999999E-2</v>
      </c>
      <c r="N14" s="86">
        <v>1.4999999999999999E-2</v>
      </c>
      <c r="O14" s="86">
        <v>1.4999999999999999E-2</v>
      </c>
      <c r="P14" s="86">
        <v>1.4999999999999999E-2</v>
      </c>
      <c r="Q14" s="86">
        <v>1.4999999999999999E-2</v>
      </c>
    </row>
    <row r="15" spans="1:17" x14ac:dyDescent="0.25">
      <c r="B15" t="s">
        <v>58</v>
      </c>
      <c r="C15" s="73">
        <v>1.4999999999999999E-2</v>
      </c>
      <c r="D15" s="73">
        <v>1.4999999999999999E-2</v>
      </c>
      <c r="E15" s="73">
        <v>1.4999999999999999E-2</v>
      </c>
      <c r="F15" s="73">
        <v>1.4999999999999999E-2</v>
      </c>
      <c r="G15" s="73">
        <v>1.4999999999999999E-2</v>
      </c>
      <c r="L15" s="18" t="s">
        <v>59</v>
      </c>
      <c r="M15" s="86">
        <v>0.25</v>
      </c>
      <c r="N15" s="86">
        <v>0.25</v>
      </c>
      <c r="O15" s="86">
        <v>0.25</v>
      </c>
      <c r="P15" s="86">
        <v>0.25</v>
      </c>
      <c r="Q15" s="86">
        <v>0.25</v>
      </c>
    </row>
    <row r="16" spans="1:17" x14ac:dyDescent="0.25">
      <c r="B16" t="s">
        <v>59</v>
      </c>
      <c r="C16" s="73">
        <v>0.25</v>
      </c>
      <c r="D16" s="73">
        <v>0.25</v>
      </c>
      <c r="E16" s="73">
        <v>0.25</v>
      </c>
      <c r="F16" s="73">
        <v>0.25</v>
      </c>
      <c r="G16" s="73">
        <v>0.25</v>
      </c>
      <c r="L16" s="18" t="s">
        <v>60</v>
      </c>
      <c r="M16" s="86">
        <v>0.8</v>
      </c>
      <c r="N16" s="86">
        <v>0.8</v>
      </c>
      <c r="O16" s="86">
        <v>0.8</v>
      </c>
      <c r="P16" s="86">
        <v>0.8</v>
      </c>
      <c r="Q16" s="86">
        <v>0.8</v>
      </c>
    </row>
    <row r="17" spans="2:17" x14ac:dyDescent="0.25">
      <c r="B17" t="s">
        <v>60</v>
      </c>
      <c r="C17" s="73">
        <v>0.8</v>
      </c>
      <c r="D17" s="73">
        <v>0.8</v>
      </c>
      <c r="E17" s="73">
        <v>0.8</v>
      </c>
      <c r="F17" s="73">
        <v>0.8</v>
      </c>
      <c r="G17" s="73">
        <v>0.8</v>
      </c>
    </row>
    <row r="18" spans="2:17" x14ac:dyDescent="0.25">
      <c r="L18" s="125" t="s">
        <v>136</v>
      </c>
      <c r="M18" s="125"/>
      <c r="N18" s="125"/>
      <c r="O18" s="125"/>
      <c r="P18" s="125"/>
      <c r="Q18" s="125"/>
    </row>
    <row r="19" spans="2:17" ht="15.75" x14ac:dyDescent="0.25">
      <c r="B19" s="29" t="s">
        <v>61</v>
      </c>
    </row>
    <row r="21" spans="2:17" x14ac:dyDescent="0.25">
      <c r="B21" t="s">
        <v>62</v>
      </c>
      <c r="C21" s="74">
        <v>6.7500000000000004E-2</v>
      </c>
    </row>
    <row r="22" spans="2:17" x14ac:dyDescent="0.25">
      <c r="B22" t="s">
        <v>63</v>
      </c>
      <c r="C22" s="74">
        <v>7.0000000000000007E-2</v>
      </c>
    </row>
    <row r="23" spans="2:17" x14ac:dyDescent="0.25">
      <c r="B23" t="s">
        <v>64</v>
      </c>
      <c r="C23" s="75">
        <v>0.65</v>
      </c>
    </row>
    <row r="24" spans="2:17" x14ac:dyDescent="0.25">
      <c r="B24" s="2" t="s">
        <v>65</v>
      </c>
      <c r="C24" s="76">
        <f>C21+C23*C22</f>
        <v>0.11300000000000002</v>
      </c>
    </row>
    <row r="25" spans="2:17" x14ac:dyDescent="0.25">
      <c r="B25" t="s">
        <v>66</v>
      </c>
      <c r="C25" s="77">
        <v>0.08</v>
      </c>
    </row>
    <row r="26" spans="2:17" x14ac:dyDescent="0.25">
      <c r="B26" s="2" t="s">
        <v>67</v>
      </c>
      <c r="C26" s="76">
        <f>C25*(1-C16)</f>
        <v>0.06</v>
      </c>
    </row>
    <row r="27" spans="2:17" x14ac:dyDescent="0.25">
      <c r="B27" t="s">
        <v>68</v>
      </c>
      <c r="C27" s="78">
        <v>716423</v>
      </c>
    </row>
    <row r="28" spans="2:17" x14ac:dyDescent="0.25">
      <c r="B28" t="s">
        <v>69</v>
      </c>
      <c r="C28" s="79">
        <f>'Balance Sheet'!G7</f>
        <v>11283</v>
      </c>
    </row>
    <row r="29" spans="2:17" x14ac:dyDescent="0.25">
      <c r="B29" t="s">
        <v>70</v>
      </c>
      <c r="C29" s="80">
        <f>C27/(C27+C28)</f>
        <v>0.98449511203700391</v>
      </c>
    </row>
    <row r="30" spans="2:17" x14ac:dyDescent="0.25">
      <c r="B30" t="s">
        <v>71</v>
      </c>
      <c r="C30" s="80">
        <f>1-C29</f>
        <v>1.5504887962996095E-2</v>
      </c>
    </row>
    <row r="31" spans="2:17" x14ac:dyDescent="0.25">
      <c r="B31" s="2" t="s">
        <v>72</v>
      </c>
      <c r="C31" s="81">
        <f>C29*C24+C30*C26</f>
        <v>0.11217824093796123</v>
      </c>
    </row>
    <row r="32" spans="2:17" x14ac:dyDescent="0.25">
      <c r="C32" s="82"/>
    </row>
    <row r="33" spans="2:3" ht="15.75" x14ac:dyDescent="0.25">
      <c r="B33" s="29" t="s">
        <v>73</v>
      </c>
      <c r="C33" s="82"/>
    </row>
    <row r="34" spans="2:3" x14ac:dyDescent="0.25">
      <c r="C34" s="82"/>
    </row>
    <row r="35" spans="2:3" x14ac:dyDescent="0.25">
      <c r="B35" t="s">
        <v>74</v>
      </c>
      <c r="C35" s="83">
        <v>0.05</v>
      </c>
    </row>
    <row r="36" spans="2:3" x14ac:dyDescent="0.25">
      <c r="B36" t="s">
        <v>75</v>
      </c>
      <c r="C36" s="84">
        <v>1983</v>
      </c>
    </row>
    <row r="37" spans="2:3" x14ac:dyDescent="0.25">
      <c r="B37" t="s">
        <v>76</v>
      </c>
      <c r="C37" s="85">
        <f>'Balance Sheet'!G4</f>
        <v>362</v>
      </c>
    </row>
  </sheetData>
  <mergeCells count="3">
    <mergeCell ref="A2:D2"/>
    <mergeCell ref="L2:Q2"/>
    <mergeCell ref="L18:Q1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D8A7-6B20-466F-8F1C-5D6697260C2E}">
  <dimension ref="A1:L19"/>
  <sheetViews>
    <sheetView zoomScaleNormal="100" workbookViewId="0">
      <selection activeCell="H33" sqref="H33"/>
    </sheetView>
  </sheetViews>
  <sheetFormatPr defaultRowHeight="15" x14ac:dyDescent="0.25"/>
  <cols>
    <col min="1" max="1" width="3.7109375" customWidth="1"/>
    <col min="2" max="2" width="35.7109375" customWidth="1"/>
    <col min="3" max="12" width="12.7109375" customWidth="1"/>
  </cols>
  <sheetData>
    <row r="1" spans="1:12" ht="21" x14ac:dyDescent="0.35">
      <c r="A1" s="117" t="s">
        <v>39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3" spans="1:12" x14ac:dyDescent="0.25">
      <c r="C3" s="39" t="s">
        <v>0</v>
      </c>
      <c r="D3" s="39" t="s">
        <v>1</v>
      </c>
      <c r="E3" s="39" t="s">
        <v>2</v>
      </c>
      <c r="F3" s="39" t="s">
        <v>3</v>
      </c>
      <c r="G3" s="40" t="s">
        <v>4</v>
      </c>
      <c r="H3" s="39" t="s">
        <v>5</v>
      </c>
      <c r="I3" s="39" t="s">
        <v>6</v>
      </c>
      <c r="J3" s="39" t="s">
        <v>7</v>
      </c>
      <c r="K3" s="39" t="s">
        <v>8</v>
      </c>
      <c r="L3" s="39" t="s">
        <v>9</v>
      </c>
    </row>
    <row r="4" spans="1:12" x14ac:dyDescent="0.25">
      <c r="B4" s="3" t="s">
        <v>10</v>
      </c>
      <c r="C4" s="132">
        <v>191754</v>
      </c>
      <c r="D4" s="132">
        <v>225458</v>
      </c>
      <c r="E4" s="132">
        <v>240893</v>
      </c>
      <c r="F4" s="132">
        <v>255324</v>
      </c>
      <c r="G4" s="133">
        <v>267021</v>
      </c>
      <c r="H4" s="134">
        <f>G4*(1+Assumptions!C6)</f>
        <v>288382.68</v>
      </c>
      <c r="I4" s="134">
        <f>H4*(1+Assumptions!D6)</f>
        <v>308569.46760000003</v>
      </c>
      <c r="J4" s="134">
        <f>I4*(1+Assumptions!E6)</f>
        <v>328626.48299400002</v>
      </c>
      <c r="K4" s="134">
        <f>J4*(1+Assumptions!F6)</f>
        <v>348344.07197364006</v>
      </c>
      <c r="L4" s="134">
        <f>K4*(1+Assumptions!G6)</f>
        <v>369244.71629205847</v>
      </c>
    </row>
    <row r="5" spans="1:12" x14ac:dyDescent="0.25">
      <c r="B5" s="4" t="s">
        <v>11</v>
      </c>
      <c r="C5" s="82"/>
      <c r="D5" s="80">
        <f t="shared" ref="D5:L5" si="0">(D4-C4)/C4</f>
        <v>0.17576686796624844</v>
      </c>
      <c r="E5" s="80">
        <f t="shared" si="0"/>
        <v>6.8460644554639891E-2</v>
      </c>
      <c r="F5" s="80">
        <f t="shared" si="0"/>
        <v>5.9906265437351856E-2</v>
      </c>
      <c r="G5" s="135">
        <f t="shared" si="0"/>
        <v>4.5812379564788272E-2</v>
      </c>
      <c r="H5" s="136">
        <f t="shared" si="0"/>
        <v>7.9999999999999974E-2</v>
      </c>
      <c r="I5" s="136">
        <f t="shared" si="0"/>
        <v>7.0000000000000145E-2</v>
      </c>
      <c r="J5" s="136">
        <f t="shared" si="0"/>
        <v>6.4999999999999947E-2</v>
      </c>
      <c r="K5" s="136">
        <f t="shared" si="0"/>
        <v>6.000000000000013E-2</v>
      </c>
      <c r="L5" s="136">
        <f t="shared" si="0"/>
        <v>0.06</v>
      </c>
    </row>
    <row r="6" spans="1:12" x14ac:dyDescent="0.25">
      <c r="B6" s="3" t="s">
        <v>12</v>
      </c>
      <c r="C6" s="137">
        <v>53057</v>
      </c>
      <c r="D6" s="137">
        <v>59259</v>
      </c>
      <c r="E6" s="137">
        <v>64296</v>
      </c>
      <c r="F6" s="137">
        <v>67407</v>
      </c>
      <c r="G6" s="138">
        <v>72398</v>
      </c>
      <c r="H6" s="139">
        <f>H4*Assumptions!C7</f>
        <v>77863.323600000003</v>
      </c>
      <c r="I6" s="139">
        <f>I4*Assumptions!D7</f>
        <v>83313.756252000021</v>
      </c>
      <c r="J6" s="139">
        <f>J4*Assumptions!E7</f>
        <v>88729.15040838001</v>
      </c>
      <c r="K6" s="139">
        <f>K4*Assumptions!F7</f>
        <v>94052.899432882827</v>
      </c>
      <c r="L6" s="139">
        <f>L4*Assumptions!G7</f>
        <v>99696.073398855791</v>
      </c>
    </row>
    <row r="7" spans="1:12" x14ac:dyDescent="0.25">
      <c r="B7" s="4" t="s">
        <v>13</v>
      </c>
      <c r="C7" s="80">
        <f>C6/C4</f>
        <v>0.27669305464292793</v>
      </c>
      <c r="D7" s="80">
        <f t="shared" ref="D7:G7" si="1">D6/D4</f>
        <v>0.26283831134845514</v>
      </c>
      <c r="E7" s="80">
        <f t="shared" si="1"/>
        <v>0.26690688396923118</v>
      </c>
      <c r="F7" s="80">
        <f t="shared" si="1"/>
        <v>0.26400573389105608</v>
      </c>
      <c r="G7" s="135">
        <f t="shared" si="1"/>
        <v>0.27113223304534101</v>
      </c>
      <c r="H7" s="136">
        <f>H6/H4</f>
        <v>0.27</v>
      </c>
      <c r="I7" s="136">
        <f t="shared" ref="I7:L7" si="2">I6/I4</f>
        <v>0.27</v>
      </c>
      <c r="J7" s="136">
        <f t="shared" si="2"/>
        <v>0.27</v>
      </c>
      <c r="K7" s="136">
        <f t="shared" si="2"/>
        <v>0.27</v>
      </c>
      <c r="L7" s="136">
        <f t="shared" si="2"/>
        <v>0.27</v>
      </c>
    </row>
    <row r="8" spans="1:12" x14ac:dyDescent="0.25">
      <c r="B8" t="s">
        <v>14</v>
      </c>
      <c r="C8" s="140">
        <v>4604</v>
      </c>
      <c r="D8" s="140">
        <v>5022</v>
      </c>
      <c r="E8" s="140">
        <v>4985</v>
      </c>
      <c r="F8" s="140">
        <v>5242</v>
      </c>
      <c r="G8" s="141">
        <v>5560</v>
      </c>
      <c r="H8" s="142">
        <f>H4*Assumptions!C8</f>
        <v>6056.0362800000003</v>
      </c>
      <c r="I8" s="143">
        <f>I4*Assumptions!D8</f>
        <v>6479.9588196000013</v>
      </c>
      <c r="J8" s="143">
        <f>J4*Assumptions!E8</f>
        <v>6901.1561428740006</v>
      </c>
      <c r="K8" s="143">
        <f>K4*Assumptions!F8</f>
        <v>7315.2255114464415</v>
      </c>
      <c r="L8" s="143">
        <f>L4*Assumptions!G8</f>
        <v>7754.139042133228</v>
      </c>
    </row>
    <row r="9" spans="1:12" x14ac:dyDescent="0.25">
      <c r="B9" s="3" t="s">
        <v>15</v>
      </c>
      <c r="C9" s="144">
        <f>C6-C8</f>
        <v>48453</v>
      </c>
      <c r="D9" s="144">
        <f t="shared" ref="D9:G9" si="3">D6-D8</f>
        <v>54237</v>
      </c>
      <c r="E9" s="144">
        <f t="shared" si="3"/>
        <v>59311</v>
      </c>
      <c r="F9" s="144">
        <f t="shared" si="3"/>
        <v>62165</v>
      </c>
      <c r="G9" s="145">
        <f t="shared" si="3"/>
        <v>66838</v>
      </c>
      <c r="H9" s="146">
        <f>H6-H8</f>
        <v>71807.287320000003</v>
      </c>
      <c r="I9" s="147">
        <f t="shared" ref="I9:L9" si="4">I6-I8</f>
        <v>76833.797432400024</v>
      </c>
      <c r="J9" s="147">
        <f t="shared" si="4"/>
        <v>81827.994265506015</v>
      </c>
      <c r="K9" s="147">
        <f t="shared" si="4"/>
        <v>86737.673921436392</v>
      </c>
      <c r="L9" s="147">
        <f t="shared" si="4"/>
        <v>91941.934356722559</v>
      </c>
    </row>
    <row r="10" spans="1:12" x14ac:dyDescent="0.25">
      <c r="B10" s="4" t="s">
        <v>16</v>
      </c>
      <c r="C10" s="80">
        <f>C9/C4</f>
        <v>0.25268312525423198</v>
      </c>
      <c r="D10" s="80">
        <f t="shared" ref="D10:G10" si="5">D9/D4</f>
        <v>0.24056365265370933</v>
      </c>
      <c r="E10" s="80">
        <f t="shared" si="5"/>
        <v>0.24621304894704288</v>
      </c>
      <c r="F10" s="80">
        <f t="shared" si="5"/>
        <v>0.24347495730914445</v>
      </c>
      <c r="G10" s="135">
        <f t="shared" si="5"/>
        <v>0.25030990071941905</v>
      </c>
      <c r="H10" s="136">
        <f>H9/H4</f>
        <v>0.24900000000000003</v>
      </c>
      <c r="I10" s="136">
        <f t="shared" ref="I10:L10" si="6">I9/I4</f>
        <v>0.24900000000000005</v>
      </c>
      <c r="J10" s="136">
        <f t="shared" si="6"/>
        <v>0.24900000000000003</v>
      </c>
      <c r="K10" s="136">
        <f t="shared" si="6"/>
        <v>0.24900000000000005</v>
      </c>
      <c r="L10" s="136">
        <f t="shared" si="6"/>
        <v>0.249</v>
      </c>
    </row>
    <row r="11" spans="1:12" x14ac:dyDescent="0.25">
      <c r="B11" t="s">
        <v>17</v>
      </c>
      <c r="C11" s="140">
        <v>4018</v>
      </c>
      <c r="D11" s="140">
        <v>3449</v>
      </c>
      <c r="E11" s="140">
        <v>3464</v>
      </c>
      <c r="F11" s="140">
        <v>3962</v>
      </c>
      <c r="G11" s="148">
        <v>-124</v>
      </c>
      <c r="H11" s="143">
        <f>H4*Assumptions!C15</f>
        <v>4325.7402000000002</v>
      </c>
      <c r="I11" s="143">
        <f>I4*Assumptions!D15</f>
        <v>4628.5420140000006</v>
      </c>
      <c r="J11" s="143">
        <f>J4*Assumptions!E15</f>
        <v>4929.3972449100002</v>
      </c>
      <c r="K11" s="143">
        <f>K4*Assumptions!F15</f>
        <v>5225.1610796046007</v>
      </c>
      <c r="L11" s="143">
        <f>L4*Assumptions!G15</f>
        <v>5538.6707443808764</v>
      </c>
    </row>
    <row r="12" spans="1:12" x14ac:dyDescent="0.25">
      <c r="B12" t="s">
        <v>18</v>
      </c>
      <c r="C12" s="149">
        <v>784</v>
      </c>
      <c r="D12" s="149">
        <v>779</v>
      </c>
      <c r="E12" s="149">
        <v>778</v>
      </c>
      <c r="F12" s="149">
        <v>796</v>
      </c>
      <c r="G12" s="141">
        <v>1227</v>
      </c>
      <c r="H12" s="150">
        <f ca="1">AVERAGE('Balance Sheet'!G7+'Balance Sheet'!G9,'Balance Sheet'!H7+'Balance Sheet'!H9)*Assumptions!$C$25</f>
        <v>990.40648659959857</v>
      </c>
      <c r="I12" s="143">
        <f ca="1">AVERAGE('Balance Sheet'!H7+'Balance Sheet'!H9,'Balance Sheet'!I7+'Balance Sheet'!I9)*Assumptions!$C$25</f>
        <v>1038.9343986084473</v>
      </c>
      <c r="J12" s="143">
        <f ca="1">AVERAGE('Balance Sheet'!I7+'Balance Sheet'!I9,'Balance Sheet'!J7+'Balance Sheet'!J9)*Assumptions!$C$25</f>
        <v>1025.6502847992488</v>
      </c>
      <c r="K12" s="143">
        <f ca="1">AVERAGE('Balance Sheet'!J7+'Balance Sheet'!J9,'Balance Sheet'!K7+'Balance Sheet'!K9)*Assumptions!$C$25</f>
        <v>1083.1528879482241</v>
      </c>
      <c r="L12" s="143">
        <f ca="1">AVERAGE('Balance Sheet'!K7+'Balance Sheet'!K9,'Balance Sheet'!L7+'Balance Sheet'!L9)*Assumptions!$C$25</f>
        <v>1148.1420612251177</v>
      </c>
    </row>
    <row r="13" spans="1:12" x14ac:dyDescent="0.25">
      <c r="B13" s="3" t="s">
        <v>19</v>
      </c>
      <c r="C13" s="151">
        <f>C9+C11-C12</f>
        <v>51687</v>
      </c>
      <c r="D13" s="151">
        <f t="shared" ref="D13:G13" si="7">D9+D11-D12</f>
        <v>56907</v>
      </c>
      <c r="E13" s="151">
        <f t="shared" si="7"/>
        <v>61997</v>
      </c>
      <c r="F13" s="151">
        <f t="shared" si="7"/>
        <v>65331</v>
      </c>
      <c r="G13" s="152">
        <f t="shared" si="7"/>
        <v>65487</v>
      </c>
      <c r="H13" s="146">
        <f ca="1">H9+H11-H12</f>
        <v>75142.621033400399</v>
      </c>
      <c r="I13" s="147">
        <f t="shared" ref="I13:L13" ca="1" si="8">I9+I11-I12</f>
        <v>80423.405047791588</v>
      </c>
      <c r="J13" s="147">
        <f t="shared" ca="1" si="8"/>
        <v>85731.741225616759</v>
      </c>
      <c r="K13" s="147">
        <f t="shared" ca="1" si="8"/>
        <v>90879.682113092771</v>
      </c>
      <c r="L13" s="147">
        <f t="shared" ca="1" si="8"/>
        <v>96332.463039878305</v>
      </c>
    </row>
    <row r="14" spans="1:12" x14ac:dyDescent="0.25">
      <c r="B14" t="s">
        <v>20</v>
      </c>
      <c r="C14" s="153">
        <f>C13-C16</f>
        <v>13238</v>
      </c>
      <c r="D14" s="153">
        <f t="shared" ref="D14:G14" si="9">D13-D16</f>
        <v>14604</v>
      </c>
      <c r="E14" s="153">
        <f t="shared" si="9"/>
        <v>15898</v>
      </c>
      <c r="F14" s="153">
        <f t="shared" si="9"/>
        <v>16534</v>
      </c>
      <c r="G14" s="154">
        <f t="shared" si="9"/>
        <v>16033</v>
      </c>
      <c r="H14" s="143">
        <f ca="1">H13*Assumptions!C16</f>
        <v>18785.6552583501</v>
      </c>
      <c r="I14" s="142">
        <f ca="1">I13*Assumptions!D16</f>
        <v>20105.851261947897</v>
      </c>
      <c r="J14" s="143">
        <f ca="1">J13*Assumptions!E16</f>
        <v>21432.93530640419</v>
      </c>
      <c r="K14" s="143">
        <f ca="1">K13*Assumptions!F16</f>
        <v>22719.920528273193</v>
      </c>
      <c r="L14" s="143">
        <f ca="1">L13*Assumptions!G16</f>
        <v>24083.115759969576</v>
      </c>
    </row>
    <row r="15" spans="1:12" x14ac:dyDescent="0.25">
      <c r="B15" s="4" t="s">
        <v>21</v>
      </c>
      <c r="C15" s="80">
        <f>C14/C13</f>
        <v>0.25611855979259773</v>
      </c>
      <c r="D15" s="80">
        <f t="shared" ref="D15:G15" si="10">D14/D13</f>
        <v>0.25662923717644576</v>
      </c>
      <c r="E15" s="80">
        <f t="shared" si="10"/>
        <v>0.25643176282723357</v>
      </c>
      <c r="F15" s="80">
        <f t="shared" si="10"/>
        <v>0.25308046715954141</v>
      </c>
      <c r="G15" s="135">
        <f t="shared" si="10"/>
        <v>0.24482721761571</v>
      </c>
      <c r="H15" s="136">
        <f ca="1">H14/H13</f>
        <v>0.25</v>
      </c>
      <c r="I15" s="136">
        <f t="shared" ref="I15:L15" ca="1" si="11">I14/I13</f>
        <v>0.25</v>
      </c>
      <c r="J15" s="136">
        <f t="shared" ca="1" si="11"/>
        <v>0.25</v>
      </c>
      <c r="K15" s="136">
        <f t="shared" ca="1" si="11"/>
        <v>0.25</v>
      </c>
      <c r="L15" s="136">
        <f t="shared" ca="1" si="11"/>
        <v>0.25</v>
      </c>
    </row>
    <row r="16" spans="1:12" ht="15.75" thickBot="1" x14ac:dyDescent="0.3">
      <c r="B16" s="3" t="s">
        <v>22</v>
      </c>
      <c r="C16" s="155">
        <v>38449</v>
      </c>
      <c r="D16" s="155">
        <v>42303</v>
      </c>
      <c r="E16" s="155">
        <v>46099</v>
      </c>
      <c r="F16" s="155">
        <v>48797</v>
      </c>
      <c r="G16" s="156">
        <v>49454</v>
      </c>
      <c r="H16" s="157">
        <f ca="1">H13-H14</f>
        <v>56356.965775050296</v>
      </c>
      <c r="I16" s="158">
        <f t="shared" ref="I16:L16" ca="1" si="12">I13-I14</f>
        <v>60317.553785843687</v>
      </c>
      <c r="J16" s="158">
        <f t="shared" ca="1" si="12"/>
        <v>64298.805919212566</v>
      </c>
      <c r="K16" s="158">
        <f t="shared" ca="1" si="12"/>
        <v>68159.761584819586</v>
      </c>
      <c r="L16" s="158">
        <f t="shared" ca="1" si="12"/>
        <v>72249.347279908732</v>
      </c>
    </row>
    <row r="17" spans="2:12" x14ac:dyDescent="0.25">
      <c r="B17" s="4" t="s">
        <v>23</v>
      </c>
      <c r="C17" s="80">
        <f>C16/C4</f>
        <v>0.20051211448001086</v>
      </c>
      <c r="D17" s="80">
        <f t="shared" ref="D17:G17" si="13">D16/D4</f>
        <v>0.18763139919630265</v>
      </c>
      <c r="E17" s="80">
        <f t="shared" si="13"/>
        <v>0.19136712150207769</v>
      </c>
      <c r="F17" s="80">
        <f t="shared" si="13"/>
        <v>0.19111795209224358</v>
      </c>
      <c r="G17" s="135">
        <f t="shared" si="13"/>
        <v>0.18520640698671639</v>
      </c>
      <c r="H17" s="136">
        <f ca="1">H16/H4</f>
        <v>0.1954242389835974</v>
      </c>
      <c r="I17" s="136">
        <f t="shared" ref="I17:L17" ca="1" si="14">I16/I4</f>
        <v>0.19547479617793423</v>
      </c>
      <c r="J17" s="136">
        <f t="shared" ca="1" si="14"/>
        <v>0.19565923395281115</v>
      </c>
      <c r="K17" s="136">
        <f t="shared" ca="1" si="14"/>
        <v>0.19566792452830195</v>
      </c>
      <c r="L17" s="136">
        <f t="shared" ca="1" si="14"/>
        <v>0.19566792452830187</v>
      </c>
    </row>
    <row r="18" spans="2:12" x14ac:dyDescent="0.25">
      <c r="B18" t="s">
        <v>24</v>
      </c>
      <c r="C18" s="149">
        <v>366</v>
      </c>
      <c r="D18" s="149">
        <v>366</v>
      </c>
      <c r="E18" s="149">
        <v>362</v>
      </c>
      <c r="F18" s="149">
        <v>362</v>
      </c>
      <c r="G18" s="148">
        <v>362</v>
      </c>
      <c r="H18" s="159">
        <f>G18</f>
        <v>362</v>
      </c>
      <c r="I18" s="159">
        <f t="shared" ref="I18:L18" si="15">H18</f>
        <v>362</v>
      </c>
      <c r="J18" s="159">
        <f t="shared" si="15"/>
        <v>362</v>
      </c>
      <c r="K18" s="159">
        <f t="shared" si="15"/>
        <v>362</v>
      </c>
      <c r="L18" s="159">
        <f t="shared" si="15"/>
        <v>362</v>
      </c>
    </row>
    <row r="19" spans="2:12" ht="15.75" thickBot="1" x14ac:dyDescent="0.3">
      <c r="B19" s="2" t="s">
        <v>25</v>
      </c>
      <c r="C19" s="160">
        <f>C16/C18</f>
        <v>105.05191256830601</v>
      </c>
      <c r="D19" s="160">
        <f t="shared" ref="D19:G19" si="16">D16/D18</f>
        <v>115.58196721311475</v>
      </c>
      <c r="E19" s="160">
        <f t="shared" si="16"/>
        <v>127.34530386740332</v>
      </c>
      <c r="F19" s="160">
        <f t="shared" si="16"/>
        <v>134.79834254143645</v>
      </c>
      <c r="G19" s="161">
        <f t="shared" si="16"/>
        <v>136.61325966850828</v>
      </c>
      <c r="H19" s="162">
        <f ca="1">H16/H18</f>
        <v>155.68222589792899</v>
      </c>
      <c r="I19" s="163">
        <f t="shared" ref="I19:L19" ca="1" si="17">I16/I18</f>
        <v>166.62307675647426</v>
      </c>
      <c r="J19" s="163">
        <f t="shared" ca="1" si="17"/>
        <v>177.62101082655406</v>
      </c>
      <c r="K19" s="163">
        <f t="shared" ca="1" si="17"/>
        <v>188.28663421220881</v>
      </c>
      <c r="L19" s="163">
        <f t="shared" ca="1" si="17"/>
        <v>199.58383226494124</v>
      </c>
    </row>
  </sheetData>
  <mergeCells count="1">
    <mergeCell ref="A1:L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91F0-A21D-44DF-AF33-E7177BDFF4AF}">
  <dimension ref="A1:L22"/>
  <sheetViews>
    <sheetView workbookViewId="0">
      <selection activeCell="R13" sqref="R13"/>
    </sheetView>
  </sheetViews>
  <sheetFormatPr defaultRowHeight="15" x14ac:dyDescent="0.25"/>
  <cols>
    <col min="1" max="1" width="3.7109375" customWidth="1"/>
    <col min="2" max="2" width="47.5703125" customWidth="1"/>
    <col min="3" max="12" width="12.28515625" customWidth="1"/>
  </cols>
  <sheetData>
    <row r="1" spans="1:12" ht="24" x14ac:dyDescent="0.4">
      <c r="A1" s="126" t="s">
        <v>26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3" spans="1:12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</row>
    <row r="4" spans="1:12" x14ac:dyDescent="0.25">
      <c r="B4" s="11" t="s">
        <v>27</v>
      </c>
      <c r="C4" s="7">
        <v>366</v>
      </c>
      <c r="D4" s="7">
        <v>366</v>
      </c>
      <c r="E4" s="7">
        <v>362</v>
      </c>
      <c r="F4" s="7">
        <v>362</v>
      </c>
      <c r="G4" s="42">
        <v>362</v>
      </c>
      <c r="H4" s="22">
        <f>G4</f>
        <v>362</v>
      </c>
      <c r="I4" s="22">
        <f t="shared" ref="I4:L4" si="0">H4</f>
        <v>362</v>
      </c>
      <c r="J4" s="22">
        <f t="shared" si="0"/>
        <v>362</v>
      </c>
      <c r="K4" s="22">
        <f t="shared" si="0"/>
        <v>362</v>
      </c>
      <c r="L4" s="22">
        <f t="shared" si="0"/>
        <v>362</v>
      </c>
    </row>
    <row r="5" spans="1:12" x14ac:dyDescent="0.25">
      <c r="B5" s="11" t="s">
        <v>28</v>
      </c>
      <c r="C5" s="8">
        <v>88773</v>
      </c>
      <c r="D5" s="8">
        <v>90058</v>
      </c>
      <c r="E5" s="8">
        <v>90127</v>
      </c>
      <c r="F5" s="8">
        <v>94394</v>
      </c>
      <c r="G5" s="43">
        <v>106878</v>
      </c>
      <c r="H5" s="19">
        <f ca="1">G5+'Income Statement'!H16*(1-Assumptions!C17)</f>
        <v>118149.39315501005</v>
      </c>
      <c r="I5" s="19">
        <f ca="1">H5+'Income Statement'!I16*(1-Assumptions!D17)</f>
        <v>130212.90391217879</v>
      </c>
      <c r="J5" s="19">
        <f ca="1">I5+'Income Statement'!J16*(1-Assumptions!E17)</f>
        <v>143072.66509602132</v>
      </c>
      <c r="K5" s="19">
        <f ca="1">J5+'Income Statement'!K16*(1-Assumptions!F17)</f>
        <v>156704.61741298524</v>
      </c>
      <c r="L5" s="19">
        <f ca="1">K5+'Income Statement'!L16*(1-Assumptions!G17)</f>
        <v>171154.48686896698</v>
      </c>
    </row>
    <row r="6" spans="1:12" x14ac:dyDescent="0.25">
      <c r="B6" s="10" t="s">
        <v>29</v>
      </c>
      <c r="C6" s="44">
        <f>C4+C5</f>
        <v>89139</v>
      </c>
      <c r="D6" s="44">
        <f t="shared" ref="D6:G6" si="1">D4+D5</f>
        <v>90424</v>
      </c>
      <c r="E6" s="44">
        <f t="shared" si="1"/>
        <v>90489</v>
      </c>
      <c r="F6" s="44">
        <f t="shared" si="1"/>
        <v>94756</v>
      </c>
      <c r="G6" s="45">
        <f t="shared" si="1"/>
        <v>107240</v>
      </c>
      <c r="H6" s="46">
        <f ca="1">H4+H5</f>
        <v>118511.39315501005</v>
      </c>
      <c r="I6" s="47">
        <f t="shared" ref="I6:L6" ca="1" si="2">I4+I5</f>
        <v>130574.90391217879</v>
      </c>
      <c r="J6" s="47">
        <f t="shared" ca="1" si="2"/>
        <v>143434.66509602132</v>
      </c>
      <c r="K6" s="47">
        <f t="shared" ca="1" si="2"/>
        <v>157066.61741298524</v>
      </c>
      <c r="L6" s="47">
        <f t="shared" ca="1" si="2"/>
        <v>171516.48686896698</v>
      </c>
    </row>
    <row r="7" spans="1:12" x14ac:dyDescent="0.25">
      <c r="B7" s="11" t="s">
        <v>30</v>
      </c>
      <c r="C7" s="8">
        <v>7818</v>
      </c>
      <c r="D7" s="8">
        <v>7688</v>
      </c>
      <c r="E7" s="8">
        <v>8021</v>
      </c>
      <c r="F7" s="8">
        <v>9392</v>
      </c>
      <c r="G7" s="43">
        <v>11283</v>
      </c>
      <c r="H7" s="19">
        <f>'Income Statement'!H4*Assumptions!C14</f>
        <v>11535.307199999999</v>
      </c>
      <c r="I7" s="19">
        <f>'Income Statement'!I4*Assumptions!D14</f>
        <v>12342.778704000002</v>
      </c>
      <c r="J7" s="19">
        <f>'Income Statement'!J4*Assumptions!E14</f>
        <v>13145.059319760001</v>
      </c>
      <c r="K7" s="19">
        <f>'Income Statement'!K4*Assumptions!F14</f>
        <v>13933.762878945603</v>
      </c>
      <c r="L7" s="19">
        <f>'Income Statement'!L4*Assumptions!G14</f>
        <v>14769.788651682338</v>
      </c>
    </row>
    <row r="8" spans="1:12" x14ac:dyDescent="0.25">
      <c r="B8" s="11" t="s">
        <v>31</v>
      </c>
      <c r="C8" s="8">
        <v>43967</v>
      </c>
      <c r="D8" s="8">
        <v>44747</v>
      </c>
      <c r="E8" s="8">
        <v>46962</v>
      </c>
      <c r="F8" s="8">
        <v>54501</v>
      </c>
      <c r="G8" s="43">
        <v>62644</v>
      </c>
      <c r="H8" s="19">
        <f>'Income Statement'!H4*Assumptions!C13</f>
        <v>62002.2762</v>
      </c>
      <c r="I8" s="19">
        <f>'Income Statement'!I4*Assumptions!D13</f>
        <v>66342.435534000004</v>
      </c>
      <c r="J8" s="19">
        <f>'Income Statement'!J4*Assumptions!E13</f>
        <v>70654.693843710003</v>
      </c>
      <c r="K8" s="19">
        <f>'Income Statement'!K4*Assumptions!F13</f>
        <v>74893.975474332619</v>
      </c>
      <c r="L8" s="19">
        <f>'Income Statement'!L4*Assumptions!G13</f>
        <v>79387.614002792572</v>
      </c>
    </row>
    <row r="9" spans="1:12" x14ac:dyDescent="0.25">
      <c r="B9" s="11" t="s">
        <v>160</v>
      </c>
      <c r="C9" s="8">
        <v>0</v>
      </c>
      <c r="D9" s="8">
        <v>0</v>
      </c>
      <c r="E9" s="8">
        <v>0</v>
      </c>
      <c r="F9" s="8">
        <v>0</v>
      </c>
      <c r="G9" s="43">
        <v>0</v>
      </c>
      <c r="H9" s="19">
        <f ca="1">MAX((H12+H13+H14+H15)-(H6+H7+H8),0)</f>
        <v>1941.8549649899651</v>
      </c>
      <c r="I9" s="19">
        <f t="shared" ref="I9:L9" ca="1" si="3">MAX((I12+I13+I14+I15)-(I6+I7+I8),0)</f>
        <v>153.41909622121602</v>
      </c>
      <c r="J9" s="19">
        <f t="shared" ca="1" si="3"/>
        <v>0</v>
      </c>
      <c r="K9" s="19">
        <f t="shared" ca="1" si="3"/>
        <v>0</v>
      </c>
      <c r="L9" s="19">
        <f t="shared" ca="1" si="3"/>
        <v>0</v>
      </c>
    </row>
    <row r="10" spans="1:12" ht="15.75" thickBot="1" x14ac:dyDescent="0.3">
      <c r="B10" s="10" t="s">
        <v>32</v>
      </c>
      <c r="C10" s="48">
        <f>C6+C7+C8</f>
        <v>140924</v>
      </c>
      <c r="D10" s="48">
        <f t="shared" ref="D10:G10" si="4">D6+D7+D8</f>
        <v>142859</v>
      </c>
      <c r="E10" s="48">
        <f t="shared" si="4"/>
        <v>145472</v>
      </c>
      <c r="F10" s="48">
        <f>F6+F7+F8</f>
        <v>158649</v>
      </c>
      <c r="G10" s="49">
        <f t="shared" si="4"/>
        <v>181167</v>
      </c>
      <c r="H10" s="50">
        <f ca="1">H6+H7+H8+H9</f>
        <v>193990.83152000001</v>
      </c>
      <c r="I10" s="51">
        <f t="shared" ref="I10:L10" ca="1" si="5">I6+I7+I8+I9</f>
        <v>209413.53724640002</v>
      </c>
      <c r="J10" s="51">
        <f t="shared" ca="1" si="5"/>
        <v>227234.41825949133</v>
      </c>
      <c r="K10" s="51">
        <f t="shared" ca="1" si="5"/>
        <v>245894.35576626344</v>
      </c>
      <c r="L10" s="51">
        <f t="shared" ca="1" si="5"/>
        <v>265673.8895234419</v>
      </c>
    </row>
    <row r="11" spans="1:12" x14ac:dyDescent="0.25">
      <c r="G11" s="41"/>
    </row>
    <row r="12" spans="1:12" x14ac:dyDescent="0.25">
      <c r="B12" s="11" t="s">
        <v>33</v>
      </c>
      <c r="C12" s="8">
        <v>21298</v>
      </c>
      <c r="D12" s="8">
        <v>20515</v>
      </c>
      <c r="E12" s="8">
        <v>19604</v>
      </c>
      <c r="F12" s="8">
        <v>23053</v>
      </c>
      <c r="G12" s="43">
        <v>31343</v>
      </c>
      <c r="H12" s="19">
        <f>G12+'Income Statement'!H4*Assumptions!C9-'Income Statement'!H8</f>
        <v>35380.357519999998</v>
      </c>
      <c r="I12" s="19">
        <f>H12+'Income Statement'!I4*Assumptions!D9-'Income Statement'!I8</f>
        <v>39700.330066399998</v>
      </c>
      <c r="J12" s="19">
        <f>I12+'Income Statement'!J4*Assumptions!E9-'Income Statement'!J8</f>
        <v>44301.100828315997</v>
      </c>
      <c r="K12" s="19">
        <f>J12+'Income Statement'!K4*Assumptions!F9-'Income Statement'!K8</f>
        <v>49177.917835946959</v>
      </c>
      <c r="L12" s="19">
        <f>K12+'Income Statement'!L4*Assumptions!G9-'Income Statement'!L8</f>
        <v>54347.343864035785</v>
      </c>
    </row>
    <row r="13" spans="1:12" x14ac:dyDescent="0.25">
      <c r="B13" s="11" t="s">
        <v>34</v>
      </c>
      <c r="C13" s="8">
        <v>1205</v>
      </c>
      <c r="D13" s="8">
        <v>1234</v>
      </c>
      <c r="E13" s="8">
        <v>1564</v>
      </c>
      <c r="F13" s="8">
        <v>1546</v>
      </c>
      <c r="G13" s="43">
        <v>2665</v>
      </c>
      <c r="H13" s="19">
        <f>'Income Statement'!H4*Assumptions!C10</f>
        <v>2883.8267999999998</v>
      </c>
      <c r="I13" s="19">
        <f>'Income Statement'!I4*Assumptions!D10</f>
        <v>3085.6946760000005</v>
      </c>
      <c r="J13" s="19">
        <f>'Income Statement'!J4*Assumptions!E10</f>
        <v>3286.2648299400003</v>
      </c>
      <c r="K13" s="19">
        <f>'Income Statement'!K4*Assumptions!F10</f>
        <v>3483.4407197364008</v>
      </c>
      <c r="L13" s="19">
        <f>'Income Statement'!L4*Assumptions!G10</f>
        <v>3692.4471629205846</v>
      </c>
    </row>
    <row r="14" spans="1:12" x14ac:dyDescent="0.25">
      <c r="B14" s="11" t="s">
        <v>35</v>
      </c>
      <c r="C14" s="8">
        <v>30485</v>
      </c>
      <c r="D14" s="8">
        <v>37163</v>
      </c>
      <c r="E14" s="8">
        <v>31762</v>
      </c>
      <c r="F14" s="8">
        <v>30964</v>
      </c>
      <c r="G14" s="43">
        <v>33988</v>
      </c>
      <c r="H14" s="19">
        <f>'Income Statement'!H4*Assumptions!C11</f>
        <v>37489.748399999997</v>
      </c>
      <c r="I14" s="19">
        <f>'Income Statement'!I4*Assumptions!D11</f>
        <v>40114.030788000004</v>
      </c>
      <c r="J14" s="19">
        <f>'Income Statement'!J4*Assumptions!E11</f>
        <v>42721.442789220004</v>
      </c>
      <c r="K14" s="19">
        <f>'Income Statement'!K4*Assumptions!F11</f>
        <v>45284.729356573211</v>
      </c>
      <c r="L14" s="19">
        <f>'Income Statement'!L4*Assumptions!G11</f>
        <v>48001.813117967606</v>
      </c>
    </row>
    <row r="15" spans="1:12" x14ac:dyDescent="0.25">
      <c r="B15" s="11" t="s">
        <v>36</v>
      </c>
      <c r="C15" s="8">
        <v>87936</v>
      </c>
      <c r="D15" s="8">
        <v>83947</v>
      </c>
      <c r="E15" s="8">
        <v>92542</v>
      </c>
      <c r="F15" s="8">
        <v>103086</v>
      </c>
      <c r="G15" s="43">
        <v>113171</v>
      </c>
      <c r="H15" s="19">
        <f>'Income Statement'!H4*Assumptions!C12</f>
        <v>118236.8988</v>
      </c>
      <c r="I15" s="19">
        <f>'Income Statement'!I4*Assumptions!D12</f>
        <v>126513.48171600001</v>
      </c>
      <c r="J15" s="19">
        <f>'Income Statement'!J4*Assumptions!E12</f>
        <v>134736.85802754</v>
      </c>
      <c r="K15" s="19">
        <f>'Income Statement'!K4*Assumptions!F12</f>
        <v>142821.06950919243</v>
      </c>
      <c r="L15" s="19">
        <f>'Income Statement'!L4*Assumptions!G12</f>
        <v>151390.33367974396</v>
      </c>
    </row>
    <row r="16" spans="1:12" x14ac:dyDescent="0.25">
      <c r="B16" s="11" t="s">
        <v>159</v>
      </c>
      <c r="C16" s="8">
        <v>0</v>
      </c>
      <c r="D16" s="8">
        <v>0</v>
      </c>
      <c r="E16" s="8">
        <v>0</v>
      </c>
      <c r="F16" s="8">
        <v>0</v>
      </c>
      <c r="G16" s="43">
        <v>0</v>
      </c>
      <c r="H16" s="19">
        <f ca="1">MAX((H6+H7+H8)-(H12+H13+H14+H15),0)</f>
        <v>0</v>
      </c>
      <c r="I16" s="19">
        <f t="shared" ref="I16:L16" ca="1" si="6">MAX((I6+I7+I8)-(I12+I13+I14+I15),0)</f>
        <v>0</v>
      </c>
      <c r="J16" s="19">
        <f t="shared" ca="1" si="6"/>
        <v>2188.7517844753165</v>
      </c>
      <c r="K16" s="19">
        <f t="shared" ca="1" si="6"/>
        <v>5127.1983448144456</v>
      </c>
      <c r="L16" s="19">
        <f t="shared" ca="1" si="6"/>
        <v>8241.9516987739771</v>
      </c>
    </row>
    <row r="17" spans="2:12" ht="15.75" thickBot="1" x14ac:dyDescent="0.3">
      <c r="B17" s="10" t="s">
        <v>37</v>
      </c>
      <c r="C17" s="48">
        <f>C12+C13+C14+C15+C16</f>
        <v>140924</v>
      </c>
      <c r="D17" s="48">
        <f t="shared" ref="D17:L17" si="7">D12+D13+D14+D15+D16</f>
        <v>142859</v>
      </c>
      <c r="E17" s="48">
        <f t="shared" si="7"/>
        <v>145472</v>
      </c>
      <c r="F17" s="48">
        <f t="shared" si="7"/>
        <v>158649</v>
      </c>
      <c r="G17" s="49">
        <f t="shared" si="7"/>
        <v>181167</v>
      </c>
      <c r="H17" s="50">
        <f ca="1">H12+H13+H14+H15+H16</f>
        <v>193990.83152000001</v>
      </c>
      <c r="I17" s="51">
        <f t="shared" ca="1" si="7"/>
        <v>209413.53724640002</v>
      </c>
      <c r="J17" s="51">
        <f t="shared" ca="1" si="7"/>
        <v>227234.41825949133</v>
      </c>
      <c r="K17" s="51">
        <f t="shared" ca="1" si="7"/>
        <v>245894.35576626344</v>
      </c>
      <c r="L17" s="51">
        <f t="shared" ca="1" si="7"/>
        <v>265673.8895234419</v>
      </c>
    </row>
    <row r="18" spans="2:12" x14ac:dyDescent="0.25">
      <c r="G18" s="41"/>
    </row>
    <row r="19" spans="2:12" x14ac:dyDescent="0.25">
      <c r="B19" s="10" t="s">
        <v>38</v>
      </c>
      <c r="C19" s="128">
        <f>C17-C10</f>
        <v>0</v>
      </c>
      <c r="D19" s="128">
        <f t="shared" ref="D19:G19" si="8">D17-D10</f>
        <v>0</v>
      </c>
      <c r="E19" s="128">
        <f t="shared" si="8"/>
        <v>0</v>
      </c>
      <c r="F19" s="128">
        <f>F17-F10</f>
        <v>0</v>
      </c>
      <c r="G19" s="129">
        <f t="shared" si="8"/>
        <v>0</v>
      </c>
      <c r="H19" s="128">
        <f ca="1">H17-H10</f>
        <v>0</v>
      </c>
      <c r="I19" s="130">
        <f t="shared" ref="I19:L19" ca="1" si="9">I17-I10</f>
        <v>0</v>
      </c>
      <c r="J19" s="130">
        <f t="shared" ca="1" si="9"/>
        <v>0</v>
      </c>
      <c r="K19" s="130">
        <f t="shared" ca="1" si="9"/>
        <v>0</v>
      </c>
      <c r="L19" s="130">
        <f t="shared" ca="1" si="9"/>
        <v>0</v>
      </c>
    </row>
    <row r="22" spans="2:12" x14ac:dyDescent="0.25">
      <c r="B22" s="127" t="s">
        <v>102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</row>
  </sheetData>
  <mergeCells count="2">
    <mergeCell ref="A1:L1"/>
    <mergeCell ref="B22:L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2EFF-AF1F-4034-9B88-7E319A5B76A0}">
  <dimension ref="A1:L13"/>
  <sheetViews>
    <sheetView workbookViewId="0">
      <selection activeCell="B13" sqref="B13:L13"/>
    </sheetView>
  </sheetViews>
  <sheetFormatPr defaultRowHeight="15" x14ac:dyDescent="0.25"/>
  <cols>
    <col min="1" max="1" width="3.7109375" customWidth="1"/>
    <col min="2" max="2" width="38.5703125" customWidth="1"/>
    <col min="3" max="12" width="12.7109375" customWidth="1"/>
  </cols>
  <sheetData>
    <row r="1" spans="1:12" ht="24" x14ac:dyDescent="0.4">
      <c r="A1" s="126" t="s">
        <v>40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3" spans="1:12" x14ac:dyDescent="0.25">
      <c r="B3" s="5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</row>
    <row r="4" spans="1:12" x14ac:dyDescent="0.25">
      <c r="B4" s="10" t="s">
        <v>41</v>
      </c>
      <c r="C4" s="12">
        <v>39949</v>
      </c>
      <c r="D4" s="12">
        <v>41965</v>
      </c>
      <c r="E4" s="12">
        <v>44338</v>
      </c>
      <c r="F4" s="12">
        <v>48908</v>
      </c>
      <c r="G4" s="53">
        <v>52094</v>
      </c>
      <c r="H4" s="21">
        <f ca="1">'Income Statement'!H16+'Income Statement'!H8-(('Balance Sheet'!H15-'Balance Sheet'!H8)-('Balance Sheet'!G15-'Balance Sheet'!G8))</f>
        <v>56705.379455050301</v>
      </c>
      <c r="I4" s="21">
        <f ca="1">'Income Statement'!I16+'Income Statement'!I8-(('Balance Sheet'!I15-'Balance Sheet'!I8)-('Balance Sheet'!H15-'Balance Sheet'!H8))</f>
        <v>62861.089023443674</v>
      </c>
      <c r="J4" s="21">
        <f ca="1">'Income Statement'!J16+'Income Statement'!J8-(('Balance Sheet'!J15-'Balance Sheet'!J8)-('Balance Sheet'!I15-'Balance Sheet'!I8))</f>
        <v>67288.844060256568</v>
      </c>
      <c r="K4" s="21">
        <f ca="1">'Income Statement'!K16+'Income Statement'!K8-(('Balance Sheet'!K15-'Balance Sheet'!K8)-('Balance Sheet'!J15-'Balance Sheet'!J8))</f>
        <v>71630.05724523621</v>
      </c>
      <c r="L4" s="28">
        <f ca="1">'Income Statement'!L16+'Income Statement'!L8-(('Balance Sheet'!L15-'Balance Sheet'!L8)-('Balance Sheet'!K15-'Balance Sheet'!K8))</f>
        <v>75927.86067995039</v>
      </c>
    </row>
    <row r="5" spans="1:12" x14ac:dyDescent="0.25">
      <c r="B5" s="10" t="s">
        <v>42</v>
      </c>
      <c r="C5" s="12">
        <v>-738</v>
      </c>
      <c r="D5" s="12">
        <v>548</v>
      </c>
      <c r="E5" s="12">
        <v>6091</v>
      </c>
      <c r="F5" s="12">
        <v>-2144</v>
      </c>
      <c r="G5" s="53">
        <v>-11886</v>
      </c>
      <c r="H5" s="19">
        <f>-('Income Statement'!H4*Assumptions!C9)-('Balance Sheet'!H14-'Balance Sheet'!G14)</f>
        <v>-13595.142199999997</v>
      </c>
      <c r="I5" s="19">
        <f>-('Income Statement'!I4*Assumptions!D9)-('Balance Sheet'!I14-'Balance Sheet'!H14)</f>
        <v>-13424.213754000009</v>
      </c>
      <c r="J5" s="19">
        <f>-('Income Statement'!J4*Assumptions!E9)-('Balance Sheet'!J14-'Balance Sheet'!I14)</f>
        <v>-14109.338906010002</v>
      </c>
      <c r="K5" s="19">
        <f>-('Income Statement'!K4*Assumptions!F9)-('Balance Sheet'!K14-'Balance Sheet'!J14)</f>
        <v>-14755.329086430611</v>
      </c>
      <c r="L5" s="19">
        <f>-('Income Statement'!L4*Assumptions!G9)-('Balance Sheet'!L14-'Balance Sheet'!K14)</f>
        <v>-15640.648831616443</v>
      </c>
    </row>
    <row r="6" spans="1:12" x14ac:dyDescent="0.25">
      <c r="B6" s="10" t="s">
        <v>43</v>
      </c>
      <c r="C6" s="12">
        <v>-33581</v>
      </c>
      <c r="D6" s="12">
        <v>-47878</v>
      </c>
      <c r="E6" s="12">
        <v>-48536</v>
      </c>
      <c r="F6" s="12">
        <v>-47438</v>
      </c>
      <c r="G6" s="53">
        <v>-42133</v>
      </c>
      <c r="H6" s="19">
        <f ca="1">-('Income Statement'!H16*Assumptions!C17)+('Balance Sheet'!H7-'Balance Sheet'!G7)</f>
        <v>-44833.265420040247</v>
      </c>
      <c r="I6" s="19">
        <f ca="1">-('Income Statement'!I16*Assumptions!D17)+('Balance Sheet'!I7-'Balance Sheet'!H7)</f>
        <v>-47446.571524674953</v>
      </c>
      <c r="J6" s="19">
        <f ca="1">-('Income Statement'!J16*Assumptions!E17)+('Balance Sheet'!J7-'Balance Sheet'!I7)</f>
        <v>-50636.764119610059</v>
      </c>
      <c r="K6" s="19">
        <f ca="1">-('Income Statement'!K16*Assumptions!F17)+('Balance Sheet'!K7-'Balance Sheet'!J7)</f>
        <v>-53739.105708670068</v>
      </c>
      <c r="L6" s="19">
        <f ca="1">-('Income Statement'!L16*Assumptions!G17)+('Balance Sheet'!L7-'Balance Sheet'!K7)</f>
        <v>-56963.452051190252</v>
      </c>
    </row>
    <row r="7" spans="1:12" x14ac:dyDescent="0.25">
      <c r="B7" s="10" t="s">
        <v>44</v>
      </c>
      <c r="C7" s="52">
        <f>C4+C5+C6</f>
        <v>5630</v>
      </c>
      <c r="D7" s="52">
        <f t="shared" ref="D7:G7" si="0">D4+D5+D6</f>
        <v>-5365</v>
      </c>
      <c r="E7" s="52">
        <f t="shared" si="0"/>
        <v>1893</v>
      </c>
      <c r="F7" s="52">
        <f t="shared" si="0"/>
        <v>-674</v>
      </c>
      <c r="G7" s="54">
        <f t="shared" si="0"/>
        <v>-1925</v>
      </c>
      <c r="H7" s="47">
        <f ca="1">H4+H5+H6</f>
        <v>-1723.0281649899407</v>
      </c>
      <c r="I7" s="47">
        <f ca="1">I4+I5+I6</f>
        <v>1990.3037447687093</v>
      </c>
      <c r="J7" s="47">
        <f t="shared" ref="J7:L7" ca="1" si="1">J4+J5+J6</f>
        <v>2542.7410346365068</v>
      </c>
      <c r="K7" s="47">
        <f t="shared" ca="1" si="1"/>
        <v>3135.6224501355318</v>
      </c>
      <c r="L7" s="47">
        <f t="shared" ca="1" si="1"/>
        <v>3323.7597971436917</v>
      </c>
    </row>
    <row r="8" spans="1:12" x14ac:dyDescent="0.25">
      <c r="B8" s="11" t="s">
        <v>45</v>
      </c>
      <c r="C8" s="12">
        <v>36985</v>
      </c>
      <c r="D8" s="12">
        <v>38902</v>
      </c>
      <c r="E8" s="12">
        <v>41688</v>
      </c>
      <c r="F8" s="12">
        <v>44994</v>
      </c>
      <c r="G8" s="53">
        <v>48013</v>
      </c>
      <c r="H8" s="19">
        <f ca="1">H4-('Income Statement'!H4*Assumptions!C9)</f>
        <v>46611.985655050303</v>
      </c>
      <c r="I8" s="19">
        <f ca="1">I4-('Income Statement'!I4*Assumptions!D9)</f>
        <v>52061.157657443669</v>
      </c>
      <c r="J8" s="19">
        <f ca="1">J4-('Income Statement'!J4*Assumptions!E9)</f>
        <v>55786.917155466566</v>
      </c>
      <c r="K8" s="19">
        <f ca="1">K4-('Income Statement'!K4*Assumptions!F9)</f>
        <v>59438.014726158806</v>
      </c>
      <c r="L8" s="19">
        <f ca="1">L4-('Income Statement'!L4*Assumptions!G9)</f>
        <v>63004.295609728346</v>
      </c>
    </row>
    <row r="9" spans="1:12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25">
      <c r="B10" s="11" t="s">
        <v>46</v>
      </c>
      <c r="C10" s="9"/>
      <c r="D10" s="12">
        <v>4239</v>
      </c>
      <c r="E10" s="12">
        <v>4074</v>
      </c>
      <c r="F10" s="12">
        <v>8691</v>
      </c>
      <c r="G10" s="53">
        <v>13850</v>
      </c>
      <c r="H10" s="19">
        <f>'Income Statement'!H4*Assumptions!C9</f>
        <v>10093.3938</v>
      </c>
      <c r="I10" s="19">
        <f>'Income Statement'!I4*Assumptions!D9</f>
        <v>10799.931366000003</v>
      </c>
      <c r="J10" s="19">
        <f>'Income Statement'!J4*Assumptions!E9</f>
        <v>11501.926904790002</v>
      </c>
      <c r="K10" s="19">
        <f>'Income Statement'!K4*Assumptions!F9</f>
        <v>12192.042519077404</v>
      </c>
      <c r="L10" s="19">
        <f>'Income Statement'!L4*Assumptions!G9</f>
        <v>12923.565070222048</v>
      </c>
    </row>
    <row r="11" spans="1:12" x14ac:dyDescent="0.25">
      <c r="B11" s="11" t="s">
        <v>47</v>
      </c>
      <c r="C11" s="12">
        <v>15764</v>
      </c>
      <c r="D11" s="12">
        <v>42303</v>
      </c>
      <c r="E11" s="12">
        <v>26737</v>
      </c>
      <c r="F11" s="12">
        <v>45869</v>
      </c>
      <c r="G11" s="53">
        <v>40058</v>
      </c>
      <c r="H11" s="19">
        <f ca="1">'Income Statement'!H16*Assumptions!C17</f>
        <v>45085.572620040242</v>
      </c>
      <c r="I11" s="19">
        <f ca="1">'Income Statement'!I16*Assumptions!D17</f>
        <v>48254.043028674954</v>
      </c>
      <c r="J11" s="19">
        <f ca="1">'Income Statement'!J16*Assumptions!E17</f>
        <v>51439.044735370058</v>
      </c>
      <c r="K11" s="19">
        <f ca="1">'Income Statement'!K16*Assumptions!F17</f>
        <v>54527.809267855671</v>
      </c>
      <c r="L11" s="19">
        <f ca="1">'Income Statement'!L16*Assumptions!G17</f>
        <v>57799.477823926987</v>
      </c>
    </row>
    <row r="13" spans="1:12" x14ac:dyDescent="0.25">
      <c r="B13" s="125" t="s">
        <v>101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</row>
  </sheetData>
  <mergeCells count="2">
    <mergeCell ref="A1:L1"/>
    <mergeCell ref="B13:L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E80B-087F-4FD0-B706-6FB7CCDE9371}">
  <dimension ref="A1:L35"/>
  <sheetViews>
    <sheetView topLeftCell="A8" workbookViewId="0">
      <selection activeCell="D35" sqref="D35"/>
    </sheetView>
  </sheetViews>
  <sheetFormatPr defaultRowHeight="15" x14ac:dyDescent="0.25"/>
  <cols>
    <col min="1" max="1" width="1.7109375" customWidth="1"/>
    <col min="2" max="2" width="55" customWidth="1"/>
    <col min="3" max="12" width="12.7109375" customWidth="1"/>
  </cols>
  <sheetData>
    <row r="1" spans="1:12" ht="24" x14ac:dyDescent="0.4">
      <c r="A1" s="126" t="s">
        <v>85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3" spans="1:12" x14ac:dyDescent="0.25">
      <c r="H3" s="15" t="s">
        <v>5</v>
      </c>
      <c r="I3" s="15" t="s">
        <v>6</v>
      </c>
      <c r="J3" s="15" t="s">
        <v>7</v>
      </c>
      <c r="K3" s="15" t="s">
        <v>8</v>
      </c>
      <c r="L3" s="15" t="s">
        <v>9</v>
      </c>
    </row>
    <row r="4" spans="1:12" x14ac:dyDescent="0.25">
      <c r="B4" s="5" t="s">
        <v>15</v>
      </c>
      <c r="H4" s="21">
        <f>'Income Statement'!H9</f>
        <v>71807.287320000003</v>
      </c>
      <c r="I4" s="19">
        <f>'Income Statement'!I9</f>
        <v>76833.797432400024</v>
      </c>
      <c r="J4" s="19">
        <f>'Income Statement'!J9</f>
        <v>81827.994265506015</v>
      </c>
      <c r="K4" s="19">
        <f>'Income Statement'!K9</f>
        <v>86737.673921436392</v>
      </c>
      <c r="L4" s="19">
        <f>'Income Statement'!L9</f>
        <v>91941.934356722559</v>
      </c>
    </row>
    <row r="5" spans="1:12" x14ac:dyDescent="0.25">
      <c r="B5" s="5" t="s">
        <v>59</v>
      </c>
      <c r="H5" s="27">
        <f>Assumptions!C16</f>
        <v>0.25</v>
      </c>
      <c r="I5" s="27">
        <f>Assumptions!D16</f>
        <v>0.25</v>
      </c>
      <c r="J5" s="27">
        <f>Assumptions!E16</f>
        <v>0.25</v>
      </c>
      <c r="K5" s="27">
        <f>Assumptions!F16</f>
        <v>0.25</v>
      </c>
      <c r="L5" s="27">
        <f>Assumptions!G16</f>
        <v>0.25</v>
      </c>
    </row>
    <row r="6" spans="1:12" x14ac:dyDescent="0.25">
      <c r="B6" s="2" t="s">
        <v>77</v>
      </c>
      <c r="H6" s="26">
        <f>H4*(1-H5)</f>
        <v>53855.465490000002</v>
      </c>
      <c r="I6" s="26">
        <f t="shared" ref="I6:L6" si="0">I4*(1-I5)</f>
        <v>57625.348074300018</v>
      </c>
      <c r="J6" s="26">
        <f t="shared" si="0"/>
        <v>61370.995699129511</v>
      </c>
      <c r="K6" s="26">
        <f t="shared" si="0"/>
        <v>65053.255441077294</v>
      </c>
      <c r="L6" s="26">
        <f t="shared" si="0"/>
        <v>68956.450767541915</v>
      </c>
    </row>
    <row r="7" spans="1:12" x14ac:dyDescent="0.25">
      <c r="B7" s="37" t="s">
        <v>78</v>
      </c>
      <c r="H7" s="19">
        <f>'Income Statement'!H8</f>
        <v>6056.0362800000003</v>
      </c>
      <c r="I7" s="19">
        <f>'Income Statement'!I8</f>
        <v>6479.9588196000013</v>
      </c>
      <c r="J7" s="19">
        <f>'Income Statement'!J8</f>
        <v>6901.1561428740006</v>
      </c>
      <c r="K7" s="19">
        <f>'Income Statement'!K8</f>
        <v>7315.2255114464415</v>
      </c>
      <c r="L7" s="19">
        <f>'Income Statement'!L8</f>
        <v>7754.139042133228</v>
      </c>
    </row>
    <row r="8" spans="1:12" x14ac:dyDescent="0.25">
      <c r="B8" s="37" t="s">
        <v>79</v>
      </c>
      <c r="H8" s="19">
        <f>'Income Statement'!H4*Assumptions!C9</f>
        <v>10093.3938</v>
      </c>
      <c r="I8" s="19">
        <f>'Income Statement'!I4*Assumptions!D9</f>
        <v>10799.931366000003</v>
      </c>
      <c r="J8" s="19">
        <f>'Income Statement'!J4*Assumptions!E9</f>
        <v>11501.926904790002</v>
      </c>
      <c r="K8" s="19">
        <f>'Income Statement'!K4*Assumptions!F9</f>
        <v>12192.042519077404</v>
      </c>
      <c r="L8" s="19">
        <f>'Income Statement'!L4*Assumptions!G9</f>
        <v>12923.565070222048</v>
      </c>
    </row>
    <row r="9" spans="1:12" x14ac:dyDescent="0.25">
      <c r="B9" s="37" t="s">
        <v>80</v>
      </c>
      <c r="H9" s="19">
        <f>(('Balance Sheet'!H15-'Balance Sheet'!H8)-('Balance Sheet'!G15-'Balance Sheet'!G8))</f>
        <v>5707.6225999999951</v>
      </c>
      <c r="I9" s="19">
        <f>(('Balance Sheet'!I15-'Balance Sheet'!I8)-('Balance Sheet'!H15-'Balance Sheet'!H8))</f>
        <v>3936.4235820000104</v>
      </c>
      <c r="J9" s="19">
        <f>(('Balance Sheet'!J15-'Balance Sheet'!J8)-('Balance Sheet'!I15-'Balance Sheet'!I8))</f>
        <v>3911.1180018299929</v>
      </c>
      <c r="K9" s="19">
        <f>(('Balance Sheet'!K15-'Balance Sheet'!K8)-('Balance Sheet'!J15-'Balance Sheet'!J8))</f>
        <v>3844.9298510298104</v>
      </c>
      <c r="L9" s="19">
        <f>(('Balance Sheet'!L15-'Balance Sheet'!L8)-('Balance Sheet'!K15-'Balance Sheet'!K8))</f>
        <v>4075.6256420915743</v>
      </c>
    </row>
    <row r="10" spans="1:12" x14ac:dyDescent="0.25">
      <c r="B10" s="2" t="s">
        <v>81</v>
      </c>
      <c r="H10" s="26">
        <f>H6+H7-H8-H9</f>
        <v>44110.485370000009</v>
      </c>
      <c r="I10" s="26">
        <f t="shared" ref="I10:L10" si="1">I6+I7-I8-I9</f>
        <v>49368.951945900008</v>
      </c>
      <c r="J10" s="26">
        <f t="shared" si="1"/>
        <v>52859.106935383519</v>
      </c>
      <c r="K10" s="26">
        <f t="shared" si="1"/>
        <v>56331.508582416522</v>
      </c>
      <c r="L10" s="26">
        <f t="shared" si="1"/>
        <v>59711.399097361529</v>
      </c>
    </row>
    <row r="11" spans="1:12" x14ac:dyDescent="0.25">
      <c r="B11" s="5" t="s">
        <v>82</v>
      </c>
      <c r="H11" s="6">
        <v>1</v>
      </c>
      <c r="I11" s="6">
        <v>2</v>
      </c>
      <c r="J11" s="6">
        <v>3</v>
      </c>
      <c r="K11" s="6">
        <v>4</v>
      </c>
      <c r="L11" s="6">
        <v>5</v>
      </c>
    </row>
    <row r="12" spans="1:12" x14ac:dyDescent="0.25">
      <c r="B12" s="5" t="s">
        <v>83</v>
      </c>
      <c r="H12" s="30">
        <f>1/(1+$D$17)^H11</f>
        <v>0.89913645420417942</v>
      </c>
      <c r="I12" s="30">
        <f t="shared" ref="I12:L12" si="2">1/(1+$D$17)^I11</f>
        <v>0.80844636327886432</v>
      </c>
      <c r="J12" s="30">
        <f t="shared" si="2"/>
        <v>0.72690359649282199</v>
      </c>
      <c r="K12" s="30">
        <f t="shared" si="2"/>
        <v>0.6535855222988215</v>
      </c>
      <c r="L12" s="30">
        <f t="shared" si="2"/>
        <v>0.58766256903894909</v>
      </c>
    </row>
    <row r="13" spans="1:12" x14ac:dyDescent="0.25">
      <c r="B13" s="2" t="s">
        <v>84</v>
      </c>
      <c r="H13" s="26">
        <f>H10*H12</f>
        <v>39661.345408807138</v>
      </c>
      <c r="I13" s="26">
        <f t="shared" ref="I13:L13" si="3">I10*I12</f>
        <v>39912.149659551877</v>
      </c>
      <c r="J13" s="26">
        <f t="shared" si="3"/>
        <v>38423.474938728948</v>
      </c>
      <c r="K13" s="26">
        <f t="shared" si="3"/>
        <v>36817.458458719251</v>
      </c>
      <c r="L13" s="26">
        <f t="shared" si="3"/>
        <v>35090.15419446546</v>
      </c>
    </row>
    <row r="16" spans="1:12" ht="15.75" x14ac:dyDescent="0.25">
      <c r="B16" s="29" t="s">
        <v>86</v>
      </c>
    </row>
    <row r="17" spans="2:4" x14ac:dyDescent="0.25">
      <c r="B17" t="s">
        <v>72</v>
      </c>
      <c r="D17" s="31">
        <f>Assumptions!C31</f>
        <v>0.11217824093796123</v>
      </c>
    </row>
    <row r="18" spans="2:4" x14ac:dyDescent="0.25">
      <c r="B18" t="s">
        <v>74</v>
      </c>
      <c r="D18" s="31">
        <f>Assumptions!C35</f>
        <v>0.05</v>
      </c>
    </row>
    <row r="19" spans="2:4" x14ac:dyDescent="0.25">
      <c r="B19" t="s">
        <v>87</v>
      </c>
      <c r="D19" s="20">
        <f>'Balance Sheet'!G7-'Balance Sheet'!G14</f>
        <v>-22705</v>
      </c>
    </row>
    <row r="20" spans="2:4" x14ac:dyDescent="0.25">
      <c r="B20" t="s">
        <v>24</v>
      </c>
      <c r="D20" s="22">
        <f>Assumptions!C37</f>
        <v>362</v>
      </c>
    </row>
    <row r="21" spans="2:4" x14ac:dyDescent="0.25">
      <c r="B21" t="s">
        <v>88</v>
      </c>
      <c r="D21" s="23">
        <f>Assumptions!C36</f>
        <v>1983</v>
      </c>
    </row>
    <row r="23" spans="2:4" x14ac:dyDescent="0.25">
      <c r="B23" s="2" t="s">
        <v>89</v>
      </c>
      <c r="D23" s="25">
        <f>SUM(H13:L13)</f>
        <v>189904.58266027269</v>
      </c>
    </row>
    <row r="24" spans="2:4" x14ac:dyDescent="0.25">
      <c r="B24" s="2" t="s">
        <v>90</v>
      </c>
      <c r="D24" s="24">
        <f>L10*(1+D18)/(D17-D18)</f>
        <v>1008342.5987362033</v>
      </c>
    </row>
    <row r="25" spans="2:4" x14ac:dyDescent="0.25">
      <c r="B25" s="2" t="s">
        <v>91</v>
      </c>
      <c r="D25" s="24">
        <f>D24*L12</f>
        <v>592565.2020447274</v>
      </c>
    </row>
    <row r="26" spans="2:4" x14ac:dyDescent="0.25">
      <c r="B26" s="2" t="s">
        <v>92</v>
      </c>
      <c r="D26" s="25">
        <f>D23+D25</f>
        <v>782469.78470500011</v>
      </c>
    </row>
    <row r="27" spans="2:4" x14ac:dyDescent="0.25">
      <c r="B27" s="4" t="s">
        <v>93</v>
      </c>
      <c r="D27" s="32">
        <f>D19</f>
        <v>-22705</v>
      </c>
    </row>
    <row r="28" spans="2:4" x14ac:dyDescent="0.25">
      <c r="B28" s="2" t="s">
        <v>94</v>
      </c>
      <c r="D28" s="25">
        <f>D26-D19</f>
        <v>805174.78470500011</v>
      </c>
    </row>
    <row r="29" spans="2:4" x14ac:dyDescent="0.25">
      <c r="B29" s="2" t="s">
        <v>95</v>
      </c>
      <c r="D29" s="35">
        <f>D28/D20</f>
        <v>2224.2397367541439</v>
      </c>
    </row>
    <row r="30" spans="2:4" x14ac:dyDescent="0.25">
      <c r="B30" t="s">
        <v>88</v>
      </c>
      <c r="D30" s="33">
        <f>D21</f>
        <v>1983</v>
      </c>
    </row>
    <row r="31" spans="2:4" x14ac:dyDescent="0.25">
      <c r="B31" s="2" t="s">
        <v>96</v>
      </c>
      <c r="D31" s="36">
        <f>(D29-D30)/D30</f>
        <v>0.12165392675448508</v>
      </c>
    </row>
    <row r="32" spans="2:4" x14ac:dyDescent="0.25">
      <c r="B32" t="s">
        <v>97</v>
      </c>
      <c r="D32" s="34">
        <f>D25/D26</f>
        <v>0.75730106596784585</v>
      </c>
    </row>
    <row r="34" spans="2:2" ht="15.75" x14ac:dyDescent="0.25">
      <c r="B34" s="29"/>
    </row>
    <row r="35" spans="2:2" ht="15.75" x14ac:dyDescent="0.25">
      <c r="B35" s="131"/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136B-18F7-4664-AF9A-2F4FC8F85BF5}">
  <dimension ref="B3:L12"/>
  <sheetViews>
    <sheetView workbookViewId="0">
      <selection activeCell="B12" sqref="B12:G12"/>
    </sheetView>
  </sheetViews>
  <sheetFormatPr defaultRowHeight="15" x14ac:dyDescent="0.25"/>
  <cols>
    <col min="1" max="1" width="3.140625" customWidth="1"/>
    <col min="2" max="2" width="27.85546875" customWidth="1"/>
    <col min="3" max="7" width="12.7109375" style="14" customWidth="1"/>
  </cols>
  <sheetData>
    <row r="3" spans="2:12" x14ac:dyDescent="0.25">
      <c r="B3" s="127" t="s">
        <v>98</v>
      </c>
      <c r="C3" s="127"/>
      <c r="D3" s="127"/>
      <c r="E3" s="127"/>
      <c r="F3" s="127"/>
      <c r="G3" s="127"/>
      <c r="H3" s="38"/>
      <c r="I3" s="38"/>
      <c r="J3" s="38"/>
      <c r="K3" s="38"/>
      <c r="L3" s="38"/>
    </row>
    <row r="5" spans="2:12" x14ac:dyDescent="0.25">
      <c r="B5" s="55" t="s">
        <v>99</v>
      </c>
      <c r="C5" s="56">
        <f>'DCF Valuation'!D18+(-0.01)</f>
        <v>0.04</v>
      </c>
      <c r="D5" s="56">
        <f>'DCF Valuation'!D18+(-0.005)</f>
        <v>4.5000000000000005E-2</v>
      </c>
      <c r="E5" s="56">
        <f>'DCF Valuation'!D18+(0)</f>
        <v>0.05</v>
      </c>
      <c r="F5" s="56">
        <f>'DCF Valuation'!D18+(0.005)</f>
        <v>5.5E-2</v>
      </c>
      <c r="G5" s="56">
        <f>'DCF Valuation'!D18+(0.01)</f>
        <v>6.0000000000000005E-2</v>
      </c>
    </row>
    <row r="6" spans="2:12" x14ac:dyDescent="0.25">
      <c r="B6" s="57">
        <f>'DCF Valuation'!D17+(-0.01)</f>
        <v>0.10217824093796124</v>
      </c>
      <c r="C6" s="58" cm="1">
        <f t="array" ref="C6">(SUMPRODUCT('DCF Valuation'!$H$10:$L$10,1/(1+$B6)^'DCF Valuation'!$H$11:$L$11)+('DCF Valuation'!$L$10*(1+C$5)/($B6-C$5))/(1+$B6)^'DCF Valuation'!$L$11-'DCF Valuation'!$D$19)/'DCF Valuation'!$D$20</f>
        <v>2297.6867136779579</v>
      </c>
      <c r="D6" s="58" cm="1">
        <f t="array" ref="D6">(SUMPRODUCT('DCF Valuation'!$H$10:$L$10,1/(1+$B6)^'DCF Valuation'!$H$11:$L$11)+('DCF Valuation'!$L$10*(1+D$5)/($B6-D$5))/(1+$B6)^'DCF Valuation'!$L$11-'DCF Valuation'!$D$19)/'DCF Valuation'!$D$20</f>
        <v>2454.8829440702671</v>
      </c>
      <c r="E6" s="58" cm="1">
        <f t="array" ref="E6">(SUMPRODUCT('DCF Valuation'!$H$10:$L$10,1/(1+$B6)^'DCF Valuation'!$H$11:$L$11)+('DCF Valuation'!$L$10*(1+E$5)/($B6-E$5))/(1+$B6)^'DCF Valuation'!$L$11-'DCF Valuation'!$D$19)/'DCF Valuation'!$D$20</f>
        <v>2642.2059528986706</v>
      </c>
      <c r="F6" s="58" cm="1">
        <f t="array" ref="F6">(SUMPRODUCT('DCF Valuation'!$H$10:$L$10,1/(1+$B6)^'DCF Valuation'!$H$11:$L$11)+('DCF Valuation'!$L$10*(1+F$5)/($B6-F$5))/(1+$B6)^'DCF Valuation'!$L$11-'DCF Valuation'!$D$19)/'DCF Valuation'!$D$20</f>
        <v>2869.2343439338269</v>
      </c>
      <c r="G6" s="58" cm="1">
        <f t="array" ref="G6">(SUMPRODUCT('DCF Valuation'!$H$10:$L$10,1/(1+$B6)^'DCF Valuation'!$H$11:$L$11)+('DCF Valuation'!$L$10*(1+G$5)/($B6-G$5))/(1+$B6)^'DCF Valuation'!$L$11-'DCF Valuation'!$D$19)/'DCF Valuation'!$D$20</f>
        <v>3150.08868550331</v>
      </c>
    </row>
    <row r="7" spans="2:12" x14ac:dyDescent="0.25">
      <c r="B7" s="57">
        <f>'DCF Valuation'!D17+(-0.005)</f>
        <v>0.10717824093796123</v>
      </c>
      <c r="C7" s="58" cm="1">
        <f t="array" ref="C7">(SUMPRODUCT('DCF Valuation'!$H$10:$L$10,1/(1+$B7)^'DCF Valuation'!$H$11:$L$11)+('DCF Valuation'!$L$10*(1+C$5)/($B7-C$5))/(1+$B7)^'DCF Valuation'!$L$11-'DCF Valuation'!$D$19)/'DCF Valuation'!$D$20</f>
        <v>2129.1640356730773</v>
      </c>
      <c r="D7" s="58" cm="1">
        <f t="array" ref="D7">(SUMPRODUCT('DCF Valuation'!$H$10:$L$10,1/(1+$B7)^'DCF Valuation'!$H$11:$L$11)+('DCF Valuation'!$L$10*(1+D$5)/($B7-D$5))/(1+$B7)^'DCF Valuation'!$L$11-'DCF Valuation'!$D$19)/'DCF Valuation'!$D$20</f>
        <v>2260.5598266042962</v>
      </c>
      <c r="E7" s="58" cm="1">
        <f t="array" ref="E7">(SUMPRODUCT('DCF Valuation'!$H$10:$L$10,1/(1+$B7)^'DCF Valuation'!$H$11:$L$11)+('DCF Valuation'!$L$10*(1+E$5)/($B7-E$5))/(1+$B7)^'DCF Valuation'!$L$11-'DCF Valuation'!$D$19)/'DCF Valuation'!$D$20</f>
        <v>2414.9356513343478</v>
      </c>
      <c r="F7" s="58" cm="1">
        <f t="array" ref="F7">(SUMPRODUCT('DCF Valuation'!$H$10:$L$10,1/(1+$B7)^'DCF Valuation'!$H$11:$L$11)+('DCF Valuation'!$L$10*(1+F$5)/($B7-F$5))/(1+$B7)^'DCF Valuation'!$L$11-'DCF Valuation'!$D$19)/'DCF Valuation'!$D$20</f>
        <v>2598.8977215864738</v>
      </c>
      <c r="G7" s="58" cm="1">
        <f t="array" ref="G7">(SUMPRODUCT('DCF Valuation'!$H$10:$L$10,1/(1+$B7)^'DCF Valuation'!$H$11:$L$11)+('DCF Valuation'!$L$10*(1+G$5)/($B7-G$5))/(1+$B7)^'DCF Valuation'!$L$11-'DCF Valuation'!$D$19)/'DCF Valuation'!$D$20</f>
        <v>2821.8527823771919</v>
      </c>
    </row>
    <row r="8" spans="2:12" x14ac:dyDescent="0.25">
      <c r="B8" s="57">
        <f>'DCF Valuation'!D17+(0)</f>
        <v>0.11217824093796123</v>
      </c>
      <c r="C8" s="58" cm="1">
        <f t="array" ref="C8">(SUMPRODUCT('DCF Valuation'!$H$10:$L$10,1/(1+$B8)^'DCF Valuation'!$H$11:$L$11)+('DCF Valuation'!$L$10*(1+C$5)/($B8-C$5))/(1+$B8)^'DCF Valuation'!$L$11-'DCF Valuation'!$D$19)/'DCF Valuation'!$D$20</f>
        <v>1984.0212785713411</v>
      </c>
      <c r="D8" s="58" cm="1">
        <f t="array" ref="D8">(SUMPRODUCT('DCF Valuation'!$H$10:$L$10,1/(1+$B8)^'DCF Valuation'!$H$11:$L$11)+('DCF Valuation'!$L$10*(1+D$5)/($B8-D$5))/(1+$B8)^'DCF Valuation'!$L$11-'DCF Valuation'!$D$19)/'DCF Valuation'!$D$20</f>
        <v>2095.1909144689935</v>
      </c>
      <c r="E8" s="59" cm="1">
        <f t="array" ref="E8">(SUMPRODUCT('DCF Valuation'!$H$10:$L$10,1/(1+$B8)^'DCF Valuation'!$H$11:$L$11)+('DCF Valuation'!$L$10*(1+E$5)/($B8-E$5))/(1+$B8)^'DCF Valuation'!$L$11-'DCF Valuation'!$D$19)/'DCF Valuation'!$D$20</f>
        <v>2224.2397367541439</v>
      </c>
      <c r="F8" s="58" cm="1">
        <f t="array" ref="F8">(SUMPRODUCT('DCF Valuation'!$H$10:$L$10,1/(1+$B8)^'DCF Valuation'!$H$11:$L$11)+('DCF Valuation'!$L$10*(1+F$5)/($B8-F$5))/(1+$B8)^'DCF Valuation'!$L$11-'DCF Valuation'!$D$19)/'DCF Valuation'!$D$20</f>
        <v>2375.8581274919447</v>
      </c>
      <c r="G8" s="58" cm="1">
        <f t="array" ref="G8">(SUMPRODUCT('DCF Valuation'!$H$10:$L$10,1/(1+$B8)^'DCF Valuation'!$H$11:$L$11)+('DCF Valuation'!$L$10*(1+G$5)/($B8-G$5))/(1+$B8)^'DCF Valuation'!$L$11-'DCF Valuation'!$D$19)/'DCF Valuation'!$D$20</f>
        <v>2556.5342994067837</v>
      </c>
    </row>
    <row r="9" spans="2:12" x14ac:dyDescent="0.25">
      <c r="B9" s="57">
        <f>'DCF Valuation'!D17+(0.005)</f>
        <v>0.11717824093796124</v>
      </c>
      <c r="C9" s="58" cm="1">
        <f t="array" ref="C9">(SUMPRODUCT('DCF Valuation'!$H$10:$L$10,1/(1+$B9)^'DCF Valuation'!$H$11:$L$11)+('DCF Valuation'!$L$10*(1+C$5)/($B9-C$5))/(1+$B9)^'DCF Valuation'!$L$11-'DCF Valuation'!$D$19)/'DCF Valuation'!$D$20</f>
        <v>1857.7137850594638</v>
      </c>
      <c r="D9" s="58" cm="1">
        <f t="array" ref="D9">(SUMPRODUCT('DCF Valuation'!$H$10:$L$10,1/(1+$B9)^'DCF Valuation'!$H$11:$L$11)+('DCF Valuation'!$L$10*(1+D$5)/($B9-D$5))/(1+$B9)^'DCF Valuation'!$L$11-'DCF Valuation'!$D$19)/'DCF Valuation'!$D$20</f>
        <v>1952.758426764228</v>
      </c>
      <c r="E9" s="58" cm="1">
        <f t="array" ref="E9">(SUMPRODUCT('DCF Valuation'!$H$10:$L$10,1/(1+$B9)^'DCF Valuation'!$H$11:$L$11)+('DCF Valuation'!$L$10*(1+E$5)/($B9-E$5))/(1+$B9)^'DCF Valuation'!$L$11-'DCF Valuation'!$D$19)/'DCF Valuation'!$D$20</f>
        <v>2061.9511974431557</v>
      </c>
      <c r="F9" s="58" cm="1">
        <f t="array" ref="F9">(SUMPRODUCT('DCF Valuation'!$H$10:$L$10,1/(1+$B9)^'DCF Valuation'!$H$11:$L$11)+('DCF Valuation'!$L$10*(1+F$5)/($B9-F$5))/(1+$B9)^'DCF Valuation'!$L$11-'DCF Valuation'!$D$19)/'DCF Valuation'!$D$20</f>
        <v>2188.7052192980163</v>
      </c>
      <c r="G9" s="58" cm="1">
        <f t="array" ref="G9">(SUMPRODUCT('DCF Valuation'!$H$10:$L$10,1/(1+$B9)^'DCF Valuation'!$H$11:$L$11)+('DCF Valuation'!$L$10*(1+G$5)/($B9-G$5))/(1+$B9)^'DCF Valuation'!$L$11-'DCF Valuation'!$D$19)/'DCF Valuation'!$D$20</f>
        <v>2337.6274680475085</v>
      </c>
    </row>
    <row r="10" spans="2:12" x14ac:dyDescent="0.25">
      <c r="B10" s="57">
        <f>'DCF Valuation'!D17+(0.01)</f>
        <v>0.12217824093796123</v>
      </c>
      <c r="C10" s="58" cm="1">
        <f t="array" ref="C10">(SUMPRODUCT('DCF Valuation'!$H$10:$L$10,1/(1+$B10)^'DCF Valuation'!$H$11:$L$11)+('DCF Valuation'!$L$10*(1+C$5)/($B10-C$5))/(1+$B10)^'DCF Valuation'!$L$11-'DCF Valuation'!$D$19)/'DCF Valuation'!$D$20</f>
        <v>1746.8029630729579</v>
      </c>
      <c r="D10" s="58" cm="1">
        <f t="array" ref="D10">(SUMPRODUCT('DCF Valuation'!$H$10:$L$10,1/(1+$B10)^'DCF Valuation'!$H$11:$L$11)+('DCF Valuation'!$L$10*(1+D$5)/($B10-D$5))/(1+$B10)^'DCF Valuation'!$L$11-'DCF Valuation'!$D$19)/'DCF Valuation'!$D$20</f>
        <v>1828.8040465241438</v>
      </c>
      <c r="E10" s="58" cm="1">
        <f t="array" ref="E10">(SUMPRODUCT('DCF Valuation'!$H$10:$L$10,1/(1+$B10)^'DCF Valuation'!$H$11:$L$11)+('DCF Valuation'!$L$10*(1+E$5)/($B10-E$5))/(1+$B10)^'DCF Valuation'!$L$11-'DCF Valuation'!$D$19)/'DCF Valuation'!$D$20</f>
        <v>1922.1660446201838</v>
      </c>
      <c r="F10" s="58" cm="1">
        <f t="array" ref="F10">(SUMPRODUCT('DCF Valuation'!$H$10:$L$10,1/(1+$B10)^'DCF Valuation'!$H$11:$L$11)+('DCF Valuation'!$L$10*(1+F$5)/($B10-F$5))/(1+$B10)^'DCF Valuation'!$L$11-'DCF Valuation'!$D$19)/'DCF Valuation'!$D$20</f>
        <v>2029.4256971936991</v>
      </c>
      <c r="G10" s="58" cm="1">
        <f t="array" ref="G10">(SUMPRODUCT('DCF Valuation'!$H$10:$L$10,1/(1+$B10)^'DCF Valuation'!$H$11:$L$11)+('DCF Valuation'!$L$10*(1+G$5)/($B10-G$5))/(1+$B10)^'DCF Valuation'!$L$11-'DCF Valuation'!$D$19)/'DCF Valuation'!$D$20</f>
        <v>2153.9357014908242</v>
      </c>
    </row>
    <row r="12" spans="2:12" x14ac:dyDescent="0.25">
      <c r="B12" s="127" t="s">
        <v>100</v>
      </c>
      <c r="C12" s="127"/>
      <c r="D12" s="127"/>
      <c r="E12" s="127"/>
      <c r="F12" s="127"/>
      <c r="G12" s="127"/>
    </row>
  </sheetData>
  <mergeCells count="2">
    <mergeCell ref="B3:G3"/>
    <mergeCell ref="B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Assumptions</vt:lpstr>
      <vt:lpstr>Income Statement</vt:lpstr>
      <vt:lpstr>Balance Sheet</vt:lpstr>
      <vt:lpstr>Cash Flow</vt:lpstr>
      <vt:lpstr>DCF Valuation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Sinha</dc:creator>
  <cp:lastModifiedBy>Rachit Sinha</cp:lastModifiedBy>
  <dcterms:created xsi:type="dcterms:W3CDTF">2026-07-11T19:28:58Z</dcterms:created>
  <dcterms:modified xsi:type="dcterms:W3CDTF">2026-07-13T01:24:59Z</dcterms:modified>
</cp:coreProperties>
</file>